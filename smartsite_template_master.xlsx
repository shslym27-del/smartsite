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974" firstSheet="0" activeTab="21"/>
  </bookViews>
  <sheets>
    <sheet name="공사정보_출력X" sheetId="1" state="visible" r:id="rId3"/>
    <sheet name="공문" sheetId="2" state="visible" r:id="rId4"/>
    <sheet name="표지" sheetId="3" state="visible" r:id="rId5"/>
    <sheet name="목차" sheetId="4" state="visible" r:id="rId6"/>
    <sheet name="1.착공신고서" sheetId="5" state="visible" r:id="rId7"/>
    <sheet name="2.현장대리인계" sheetId="6" state="visible" r:id="rId8"/>
    <sheet name="3.공정표" sheetId="7" state="visible" r:id="rId9"/>
    <sheet name="4.품질관리" sheetId="8" state="visible" r:id="rId10"/>
    <sheet name="4-1.품질관리" sheetId="9" state="visible" r:id="rId11"/>
    <sheet name="5. 안전관리" sheetId="10" state="visible" r:id="rId12"/>
    <sheet name="5-1.안전관리" sheetId="11" state="visible" r:id="rId13"/>
    <sheet name="5-2.안전관리비사용계획서" sheetId="12" state="visible" r:id="rId14"/>
    <sheet name="6. 환경관리" sheetId="13" state="visible" r:id="rId15"/>
    <sheet name="6-1. 환경관리" sheetId="14" state="visible" r:id="rId16"/>
    <sheet name="6-2.환경보전비사용계획서" sheetId="15" state="visible" r:id="rId17"/>
    <sheet name="7.장비,인원동원" sheetId="16" state="visible" r:id="rId18"/>
    <sheet name="8.착공전 사진 표지" sheetId="17" state="visible" r:id="rId19"/>
    <sheet name="8-1. 사진" sheetId="18" state="visible" r:id="rId20"/>
    <sheet name="9. 계약서" sheetId="19" state="visible" r:id="rId21"/>
    <sheet name="10.직접시공계획서" sheetId="20" state="visible" r:id="rId22"/>
    <sheet name="10-1.직접시공내역서" sheetId="21" state="visible" r:id="rId23"/>
    <sheet name="현장기구조직표" sheetId="22" state="visible" r:id="rId24"/>
    <sheet name="Sheet1" sheetId="23" state="visible" r:id="rId25"/>
  </sheets>
  <definedNames>
    <definedName function="false" hidden="false" localSheetId="4" name="_xlnm.Print_Area" vbProcedure="false">'1.착공신고서'!$A$1:$H$31</definedName>
    <definedName function="false" hidden="false" localSheetId="20" name="_xlnm.Print_Area" vbProcedure="false">'10-1.직접시공내역서'!$A$1:$P$17</definedName>
    <definedName function="false" hidden="false" localSheetId="20" name="_xlnm.Print_Titles" vbProcedure="false">'10-1.직접시공내역서'!$1:$4</definedName>
    <definedName function="false" hidden="false" localSheetId="19" name="_xlnm.Print_Area" vbProcedure="false">'10.직접시공계획서'!$A$1:$L$51</definedName>
    <definedName function="false" hidden="false" localSheetId="19" name="_xlnm.Print_Titles" vbProcedure="false">'10.직접시공계획서'!$14:$15</definedName>
    <definedName function="false" hidden="false" localSheetId="5" name="_xlnm.Print_Area" vbProcedure="false">'2.현장대리인계'!$A$1:$H$125</definedName>
    <definedName function="false" hidden="false" localSheetId="6" name="_xlnm.Print_Area" vbProcedure="false">'3.공정표'!$A$1:$S$25</definedName>
    <definedName function="false" hidden="false" localSheetId="8" name="_xlnm.Print_Area" vbProcedure="false">'4-1.품질관리'!$A$1:$AA$88</definedName>
    <definedName function="false" hidden="false" localSheetId="7" name="_xlnm.Print_Area" vbProcedure="false">'4.품질관리'!$A$1:$H$28</definedName>
    <definedName function="false" hidden="false" localSheetId="10" name="_xlnm.Print_Area" vbProcedure="false">'5-1.안전관리'!$A$1:$Z$406</definedName>
    <definedName function="false" hidden="false" localSheetId="11" name="_xlnm.Print_Area" vbProcedure="false">'5-2.안전관리비사용계획서'!$A$1:$AB$67</definedName>
    <definedName function="false" hidden="false" localSheetId="9" name="_xlnm.Print_Area" vbProcedure="false">'5. 안전관리'!$A$1:$H$28</definedName>
    <definedName function="false" hidden="false" localSheetId="13" name="_xlnm.Print_Area" vbProcedure="false">'6-1. 환경관리'!$A$1:$AA$185</definedName>
    <definedName function="false" hidden="false" localSheetId="14" name="_xlnm.Print_Area" vbProcedure="false">'6-2.환경보전비사용계획서'!$A$1:$AA$69</definedName>
    <definedName function="false" hidden="false" localSheetId="12" name="_xlnm.Print_Area" vbProcedure="false">'6. 환경관리'!$A$1:$H$28</definedName>
    <definedName function="false" hidden="false" localSheetId="15" name="_xlnm.Print_Area" vbProcedure="false">'7.장비,인원동원'!$A$1:$AA$34</definedName>
    <definedName function="false" hidden="false" localSheetId="17" name="_xlnm.Print_Area" vbProcedure="false">'8-1. 사진'!$A$1:$G$223</definedName>
    <definedName function="false" hidden="false" localSheetId="17" name="_xlnm.Print_Titles" vbProcedure="false">'8-1. 사진'!$1:$3</definedName>
    <definedName function="false" hidden="false" localSheetId="16" name="_xlnm.Print_Titles" vbProcedure="false">'8.착공전 사진 표지'!$1:$2</definedName>
    <definedName function="false" hidden="false" localSheetId="18" name="_xlnm.Print_Titles" vbProcedure="false">'9. 계약서'!$1:$2</definedName>
    <definedName function="false" hidden="false" localSheetId="1" name="_xlnm.Print_Area" vbProcedure="false">공문!$A$1:$H$28</definedName>
    <definedName function="false" hidden="false" localSheetId="3" name="_xlnm.Print_Area" vbProcedure="false">목차!$A$1:$H$23</definedName>
    <definedName function="false" hidden="false" localSheetId="2" name="_xlnm.Print_Area" vbProcedure="false">표지!$A$1:$AA$38</definedName>
    <definedName function="false" hidden="false" localSheetId="21" name="_xlnm.Print_Area" vbProcedure="false">현장기구조직표!$A$1:$Y$31</definedName>
    <definedName function="false" hidden="false" name="A" vbProcedure="false">#REF!</definedName>
    <definedName function="false" hidden="false" name="A1..A200_" vbProcedure="false">#N/A</definedName>
    <definedName function="false" hidden="false" name="A1..A2_" vbProcedure="false">#N/A</definedName>
    <definedName function="false" hidden="false" name="A12..A13_" vbProcedure="false">#N/A</definedName>
    <definedName function="false" hidden="false" name="aa" vbProcedure="false">#REF!</definedName>
    <definedName function="false" hidden="false" name="aaaa" vbProcedure="false">#REF!</definedName>
    <definedName function="false" hidden="false" name="aaaaaa" vbProcedure="false">blankmacro1</definedName>
    <definedName function="false" hidden="false" name="aaaaaaa" vbProcedure="false">blankmacro1</definedName>
    <definedName function="false" hidden="false" name="aaaaaaaa" vbProcedure="false">blankmacro1</definedName>
    <definedName function="false" hidden="false" name="aaaaaaaaaaa" vbProcedure="false">blankmacro1</definedName>
    <definedName function="false" hidden="false" name="aaaaaaaaaaaaaaa" vbProcedure="false">blankmacro1</definedName>
    <definedName function="false" hidden="false" name="aaaaaaaaaaaaaaaaaaaaaa" vbProcedure="false">blankmacro1</definedName>
    <definedName function="false" hidden="true" name="ab" vbProcedure="false">{#N/A,#N/A,FALSE,"이태원철근"}</definedName>
    <definedName function="false" hidden="true" name="ac" vbProcedure="false">{#N/A,#N/A,FALSE,"이태원철근"}</definedName>
    <definedName function="false" hidden="true" name="AccessDatabase" vbProcedure="false">"D:\_genkou\excel97\sample\支店集計作業\本社合計2.mdb"</definedName>
    <definedName function="false" hidden="true" name="ACCESSFLOOR견적비교" vbProcedure="false">{#N/A,#N/A,FALSE,"CCTV"}</definedName>
    <definedName function="false" hidden="true" name="Access_Button" vbProcedure="false">"정병은_0000_List"</definedName>
    <definedName function="false" hidden="true" name="Access_Button1" vbProcedure="false">"정병은_0000_List"</definedName>
    <definedName function="false" hidden="false" name="Activity" vbProcedure="false">#REF!</definedName>
    <definedName function="false" hidden="false" name="acti_day" vbProcedure="false">#REF!</definedName>
    <definedName function="false" hidden="false" name="acti_month" vbProcedure="false">#REF!</definedName>
    <definedName function="false" hidden="false" name="acti_monthday" vbProcedure="false">#REF!</definedName>
    <definedName function="false" hidden="false" name="acti_year" vbProcedure="false">#REF!</definedName>
    <definedName function="false" hidden="false" name="ActR" vbProcedure="false">#REF!</definedName>
    <definedName function="false" hidden="false" name="ActR_h" vbProcedure="false">#REF!</definedName>
    <definedName function="false" hidden="true" name="ACX" vbProcedure="false">#REF!</definedName>
    <definedName function="false" hidden="true" name="ad" vbProcedure="false">{#N/A,#N/A,FALSE,"이태원철근"}</definedName>
    <definedName function="false" hidden="true" name="ada" vbProcedure="false">{#N/A,#N/A,FALSE,"이태원철근"}</definedName>
    <definedName function="false" hidden="true" name="ADF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ae" vbProcedure="false">{#N/A,#N/A,FALSE,"이태원철근"}</definedName>
    <definedName function="false" hidden="true" name="af" vbProcedure="false">{#N/A,#N/A,FALSE,"이태원철근"}</definedName>
    <definedName function="false" hidden="true" name="ag" vbProcedure="false">{#N/A,#N/A,FALSE,"이태원철근"}</definedName>
    <definedName function="false" hidden="true" name="aheh" vbProcedure="false">{#N/A,#N/A,FALSE,"이태원철근"}</definedName>
    <definedName function="false" hidden="true" name="ai" vbProcedure="false">{#N/A,#N/A,FALSE,"이태원철근"}</definedName>
    <definedName function="false" hidden="true" name="aj" vbProcedure="false">{#N/A,#N/A,FALSE,"이태원철근"}</definedName>
    <definedName function="false" hidden="true" name="AJH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ak" vbProcedure="false">{#N/A,#N/A,FALSE,"이태원철근"}</definedName>
    <definedName function="false" hidden="true" name="al" vbProcedure="false">{#N/A,#N/A,FALSE,"이태원철근"}</definedName>
    <definedName function="false" hidden="true" name="alslsdkjfjs" vbProcedure="false">#REF!</definedName>
    <definedName function="false" hidden="true" name="am" vbProcedure="false">{#N/A,#N/A,FALSE,"이태원철근"}</definedName>
    <definedName function="false" hidden="false" name="Amount_h" vbProcedure="false">#REF!</definedName>
    <definedName function="false" hidden="true" name="an" vbProcedure="false">{#N/A,#N/A,FALSE,"이태원철근"}</definedName>
    <definedName function="false" hidden="false" name="anal_ij" vbProcedure="false">#REF!</definedName>
    <definedName function="false" hidden="true" name="anscount" vbProcedure="false">1</definedName>
    <definedName function="false" hidden="true" name="ao" vbProcedure="false">{#N/A,#N/A,FALSE,"이태원철근"}</definedName>
    <definedName function="false" hidden="true" name="ap" vbProcedure="false">{#N/A,#N/A,FALSE,"이태원철근"}</definedName>
    <definedName function="false" hidden="true" name="aq" vbProcedure="false">{#N/A,#N/A,FALSE,"이태원철근"}</definedName>
    <definedName function="false" hidden="true" name="ar" vbProcedure="false">{#N/A,#N/A,FALSE,"이태원철근"}</definedName>
    <definedName function="false" hidden="true" name="AS2DocOpenMode" vbProcedure="false">"AS2DocumentBrowse"</definedName>
    <definedName function="false" hidden="true" name="asdga" vbProcedure="false">{#N/A,#N/A,FALSE,"이태원철근"}</definedName>
    <definedName function="false" hidden="false" name="ASS" vbProcedure="false">#REF!</definedName>
    <definedName function="false" hidden="false" name="AV" vbProcedure="false">#REF!</definedName>
    <definedName function="false" hidden="false" name="A_1000" vbProcedure="false">#REF!</definedName>
    <definedName function="false" hidden="false" name="A_250" vbProcedure="false">#REF!</definedName>
    <definedName function="false" hidden="false" name="A_300" vbProcedure="false">#REF!</definedName>
    <definedName function="false" hidden="false" name="A_400" vbProcedure="false">#REF!</definedName>
    <definedName function="false" hidden="false" name="A_450" vbProcedure="false">#REF!</definedName>
    <definedName function="false" hidden="false" name="A_500" vbProcedure="false">#REF!</definedName>
    <definedName function="false" hidden="false" name="A_600" vbProcedure="false">#REF!</definedName>
    <definedName function="false" hidden="false" name="A_700" vbProcedure="false">#REF!</definedName>
    <definedName function="false" hidden="false" name="A_800" vbProcedure="false">#REF!</definedName>
    <definedName function="false" hidden="false" name="A_900" vbProcedure="false">#REF!</definedName>
    <definedName function="false" hidden="false" name="Aㅁ2423" vbProcedure="false">#REF!</definedName>
    <definedName function="false" hidden="false" name="B" vbProcedure="false">#REF!</definedName>
    <definedName function="false" hidden="true" name="BB" vbProcedure="false">{#N/A,#N/A,FALSE,"이태원철근"}</definedName>
    <definedName function="false" hidden="true" name="BC" vbProcedure="false">{#N/A,#N/A,FALSE,"이태원철근"}</definedName>
    <definedName function="false" hidden="false" name="BDCODE" vbProcedure="false">#N/A</definedName>
    <definedName function="false" hidden="true" name="BI" vbProcedure="false">{#N/A,#N/A,FALSE,"이태원철근"}</definedName>
    <definedName function="false" hidden="true" name="BM" vbProcedure="false">#REF!</definedName>
    <definedName function="false" hidden="true" name="BOOK2" vbProcedure="false">{#N/A,#N/A,TRUE,"손익보고"}</definedName>
    <definedName function="false" hidden="false" name="BV" vbProcedure="false">#REF!</definedName>
    <definedName function="false" hidden="false" name="cal_f_day" vbProcedure="false">#REF!</definedName>
    <definedName function="false" hidden="false" name="CCC" vbProcedure="false">#REF!</definedName>
    <definedName function="false" hidden="false" name="CHO" vbProcedure="false">#N/A</definedName>
    <definedName function="false" hidden="false" name="code" vbProcedure="false">#REF!</definedName>
    <definedName function="false" hidden="false" name="CommonDatabase" vbProcedure="false">#REF!</definedName>
    <definedName function="false" hidden="false" name="CommonDatabase1" vbProcedure="false">#REF!</definedName>
    <definedName function="false" hidden="false" name="COMPANY" vbProcedure="false">#N/A</definedName>
    <definedName function="false" hidden="false" name="CONC" vbProcedure="false">#N/A</definedName>
    <definedName function="false" hidden="false" name="cordaddr" vbProcedure="false">#REF!</definedName>
    <definedName function="false" hidden="false" name="cordaddr1" vbProcedure="false">#REF!</definedName>
    <definedName function="false" hidden="true" name="COSTT" vbProcedure="false">#REF!</definedName>
    <definedName function="false" hidden="false" name="CP" vbProcedure="false">#REF!</definedName>
    <definedName function="false" hidden="false" name="cpi" vbProcedure="false">#REF!</definedName>
    <definedName function="false" hidden="false" name="cpmprojaddr" vbProcedure="false">#REF!</definedName>
    <definedName function="false" hidden="false" name="cpmprojapprover" vbProcedure="false">#REF!</definedName>
    <definedName function="false" hidden="false" name="cpmprojcompoday" vbProcedure="false">#REF!</definedName>
    <definedName function="false" hidden="false" name="cpmprojcomposer" vbProcedure="false">#REF!</definedName>
    <definedName function="false" hidden="false" name="cpmprojduration" vbProcedure="false">#REF!</definedName>
    <definedName function="false" hidden="false" name="cpmprojname" vbProcedure="false">#REF!</definedName>
    <definedName function="false" hidden="false" name="cp_fnc" vbProcedure="false">#REF!</definedName>
    <definedName function="false" hidden="false" name="cp_i_blk" vbProcedure="false">#REF!</definedName>
    <definedName function="false" hidden="false" name="CR" vbProcedure="false">#REF!</definedName>
    <definedName function="false" hidden="false" name="CRa" vbProcedure="false">#REF!</definedName>
    <definedName function="false" hidden="true" name="crane" vbProcedure="false">{#N/A,#N/A,FALSE,"CCTV"}</definedName>
    <definedName function="false" hidden="false" name="CRb" vbProcedure="false">#REF!</definedName>
    <definedName function="false" hidden="false" name="cri_01" vbProcedure="false">#REF!</definedName>
    <definedName function="false" hidden="false" name="cri_02" vbProcedure="false">#REF!</definedName>
    <definedName function="false" hidden="false" name="cri_03" vbProcedure="false">#REF!</definedName>
    <definedName function="false" hidden="false" name="cri_CP_is_CA" vbProcedure="false">#REF!</definedName>
    <definedName function="false" hidden="false" name="cri_gjtitle" vbProcedure="false">#REF!</definedName>
    <definedName function="false" hidden="false" name="cri_ij_co" vbProcedure="false">#REF!</definedName>
    <definedName function="false" hidden="false" name="cri_now_iv" vbProcedure="false">#REF!</definedName>
    <definedName function="false" hidden="false" name="cri_out" vbProcedure="false">#REF!</definedName>
    <definedName function="false" hidden="false" name="cri_pnt" vbProcedure="false">#REF!</definedName>
    <definedName function="false" hidden="false" name="cri_top" vbProcedure="false">#REF!</definedName>
    <definedName function="false" hidden="false" name="crtrcd" vbProcedure="false">#REF!</definedName>
    <definedName function="false" hidden="false" name="C_" vbProcedure="false">#N/A</definedName>
    <definedName function="false" hidden="false" name="D1_1000" vbProcedure="false">#REF!</definedName>
    <definedName function="false" hidden="false" name="D1_250" vbProcedure="false">#REF!</definedName>
    <definedName function="false" hidden="false" name="D1_300" vbProcedure="false">#REF!</definedName>
    <definedName function="false" hidden="false" name="D1_400" vbProcedure="false">#REF!</definedName>
    <definedName function="false" hidden="false" name="D1_450" vbProcedure="false">#REF!</definedName>
    <definedName function="false" hidden="false" name="D1_500" vbProcedure="false">#REF!</definedName>
    <definedName function="false" hidden="false" name="D1_600" vbProcedure="false">#REF!</definedName>
    <definedName function="false" hidden="false" name="D1_700" vbProcedure="false">#REF!</definedName>
    <definedName function="false" hidden="false" name="D1_800" vbProcedure="false">#REF!</definedName>
    <definedName function="false" hidden="false" name="D1_900" vbProcedure="false">#REF!</definedName>
    <definedName function="false" hidden="false" name="D2_1000" vbProcedure="false">#REF!</definedName>
    <definedName function="false" hidden="false" name="D2_250" vbProcedure="false">#REF!</definedName>
    <definedName function="false" hidden="false" name="D2_300" vbProcedure="false">#REF!</definedName>
    <definedName function="false" hidden="false" name="D2_400" vbProcedure="false">#REF!</definedName>
    <definedName function="false" hidden="false" name="D2_450" vbProcedure="false">#REF!</definedName>
    <definedName function="false" hidden="false" name="D2_500" vbProcedure="false">#REF!</definedName>
    <definedName function="false" hidden="false" name="D2_600" vbProcedure="false">#REF!</definedName>
    <definedName function="false" hidden="false" name="D2_700" vbProcedure="false">#REF!</definedName>
    <definedName function="false" hidden="false" name="D2_800" vbProcedure="false">#REF!</definedName>
    <definedName function="false" hidden="false" name="D2_900" vbProcedure="false">#REF!</definedName>
    <definedName function="false" hidden="false" name="DANGA" vbProcedure="false">#REF!,#REF!</definedName>
    <definedName function="false" hidden="false" name="danga2" vbProcedure="false">#REF!,#REF!</definedName>
    <definedName function="false" hidden="false" name="data" vbProcedure="false">#REF!</definedName>
    <definedName function="false" hidden="false" name="database2" vbProcedure="false">#REF!</definedName>
    <definedName function="false" hidden="false" name="Database_MI" vbProcedure="false">#REF!</definedName>
    <definedName function="false" hidden="true" name="dataww" vbProcedure="false">#REF!</definedName>
    <definedName function="false" hidden="false" name="data_block" vbProcedure="false">#REF!</definedName>
    <definedName function="false" hidden="false" name="data_block2" vbProcedure="false">#REF!</definedName>
    <definedName function="false" hidden="false" name="date_errchk" vbProcedure="false">#REF!</definedName>
    <definedName function="false" hidden="false" name="date_errval" vbProcedure="false">#REF!</definedName>
    <definedName function="false" hidden="false" name="DAY" vbProcedure="false">#N/A</definedName>
    <definedName function="false" hidden="false" name="DB" vbProcedure="false">#REF!</definedName>
    <definedName function="false" hidden="false" name="DDDDA" vbProcedure="false">blankmacro1</definedName>
    <definedName function="false" hidden="true" name="DDFR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DDS" vbProcedure="false">blankmacro1</definedName>
    <definedName function="false" hidden="false" name="DDW" vbProcedure="false">blankmacro1</definedName>
    <definedName function="false" hidden="false" name="df" vbProcedure="false">#REF!</definedName>
    <definedName function="false" hidden="true" name="DFASDF" vbProcedure="false">#REF!</definedName>
    <definedName function="false" hidden="true" name="DFEE" vbProcedure="false">#REF!</definedName>
    <definedName function="false" hidden="true" name="DFSW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Dij" vbProcedure="false">#REF!</definedName>
    <definedName function="false" hidden="false" name="DKD" vbProcedure="false">blankmacro1</definedName>
    <definedName function="false" hidden="true" name="dkdkdkdkd" vbProcedure="false">{#N/A,#N/A,FALSE,"명세표"}</definedName>
    <definedName function="false" hidden="false" name="DKE" vbProcedure="false">blankmacro1</definedName>
    <definedName function="false" hidden="true" name="DKSG" vbProcedure="false">#REF!</definedName>
    <definedName function="false" hidden="true" name="DKSGMLWJD" vbProcedure="false">#REF!</definedName>
    <definedName function="false" hidden="true" name="dksk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dlsrks" vbProcedure="false">blankmacro1</definedName>
    <definedName function="false" hidden="false" name="DMsum" vbProcedure="false">#REF!</definedName>
    <definedName function="false" hidden="true" name="dn" vbProcedure="false">{#N/A,#N/A,FALSE,"혼합골재"}</definedName>
    <definedName function="false" hidden="true" name="Dp" vbProcedure="false">#REF!</definedName>
    <definedName function="false" hidden="false" name="DROW" vbProcedure="false">#N/A</definedName>
    <definedName function="false" hidden="false" name="drsg" vbProcedure="false">#REF!</definedName>
    <definedName function="false" hidden="false" name="DRsum" vbProcedure="false">#REF!</definedName>
    <definedName function="false" hidden="false" name="DS" vbProcedure="false">blankmacro1</definedName>
    <definedName function="false" hidden="true" name="DSA" vbProcedure="false">{#N/A,#N/A,FALSE,"제목"}</definedName>
    <definedName function="false" hidden="true" name="dsgfggg" vbProcedure="false">#REF!</definedName>
    <definedName function="false" hidden="true" name="DSSDS" vbProcedure="false">{#N/A,#N/A,FALSE,"명세표"}</definedName>
    <definedName function="false" hidden="false" name="DSVP" vbProcedure="false">#REF!</definedName>
    <definedName function="false" hidden="false" name="DWS" vbProcedure="false">blankmacro1</definedName>
    <definedName function="false" hidden="false" name="D_1000" vbProcedure="false">#REF!</definedName>
    <definedName function="false" hidden="false" name="D_250" vbProcedure="false">#REF!</definedName>
    <definedName function="false" hidden="false" name="D_300" vbProcedure="false">#REF!</definedName>
    <definedName function="false" hidden="false" name="D_400" vbProcedure="false">#REF!</definedName>
    <definedName function="false" hidden="false" name="D_450" vbProcedure="false">#REF!</definedName>
    <definedName function="false" hidden="false" name="D_500" vbProcedure="false">#REF!</definedName>
    <definedName function="false" hidden="false" name="D_600" vbProcedure="false">#REF!</definedName>
    <definedName function="false" hidden="false" name="D_700" vbProcedure="false">#REF!</definedName>
    <definedName function="false" hidden="false" name="D_800" vbProcedure="false">#REF!</definedName>
    <definedName function="false" hidden="false" name="D_900" vbProcedure="false">#REF!</definedName>
    <definedName function="false" hidden="false" name="d_errchk" vbProcedure="false">#REF!</definedName>
    <definedName function="false" hidden="false" name="D열" vbProcedure="false">#REF!</definedName>
    <definedName function="false" hidden="false" name="E" vbProcedure="false">#N/A</definedName>
    <definedName function="false" hidden="false" name="E10M" vbProcedure="false">#REF!</definedName>
    <definedName function="false" hidden="false" name="E10P" vbProcedure="false">#REF!</definedName>
    <definedName function="false" hidden="false" name="E11M" vbProcedure="false">#REF!</definedName>
    <definedName function="false" hidden="false" name="E11P" vbProcedure="false">#REF!</definedName>
    <definedName function="false" hidden="false" name="E12M" vbProcedure="false">#REF!</definedName>
    <definedName function="false" hidden="false" name="E12P" vbProcedure="false">#REF!</definedName>
    <definedName function="false" hidden="false" name="E13M" vbProcedure="false">#REF!</definedName>
    <definedName function="false" hidden="false" name="E13P" vbProcedure="false">#REF!</definedName>
    <definedName function="false" hidden="false" name="E14M" vbProcedure="false">#REF!</definedName>
    <definedName function="false" hidden="false" name="E14P" vbProcedure="false">#REF!</definedName>
    <definedName function="false" hidden="false" name="E15M" vbProcedure="false">#REF!</definedName>
    <definedName function="false" hidden="false" name="E15P" vbProcedure="false">#REF!</definedName>
    <definedName function="false" hidden="false" name="E16M" vbProcedure="false">#REF!</definedName>
    <definedName function="false" hidden="false" name="E16P" vbProcedure="false">#REF!</definedName>
    <definedName function="false" hidden="false" name="E17M" vbProcedure="false">#REF!</definedName>
    <definedName function="false" hidden="false" name="E17P" vbProcedure="false">#REF!</definedName>
    <definedName function="false" hidden="false" name="E18M" vbProcedure="false">#REF!</definedName>
    <definedName function="false" hidden="false" name="E18P" vbProcedure="false">#REF!</definedName>
    <definedName function="false" hidden="false" name="E19M" vbProcedure="false">#REF!</definedName>
    <definedName function="false" hidden="false" name="E19P" vbProcedure="false">#REF!</definedName>
    <definedName function="false" hidden="false" name="E1E" vbProcedure="false">#REF!</definedName>
    <definedName function="false" hidden="false" name="E1M" vbProcedure="false">#REF!</definedName>
    <definedName function="false" hidden="false" name="E1P" vbProcedure="false">#REF!</definedName>
    <definedName function="false" hidden="false" name="E20M" vbProcedure="false">#REF!</definedName>
    <definedName function="false" hidden="false" name="E20P" vbProcedure="false">#REF!</definedName>
    <definedName function="false" hidden="false" name="E21M" vbProcedure="false">#REF!</definedName>
    <definedName function="false" hidden="false" name="E21P" vbProcedure="false">#REF!</definedName>
    <definedName function="false" hidden="false" name="E22M" vbProcedure="false">#REF!</definedName>
    <definedName function="false" hidden="false" name="E22P" vbProcedure="false">#REF!</definedName>
    <definedName function="false" hidden="false" name="E23M" vbProcedure="false">#REF!</definedName>
    <definedName function="false" hidden="false" name="E23P" vbProcedure="false">#REF!</definedName>
    <definedName function="false" hidden="false" name="E24M" vbProcedure="false">#REF!</definedName>
    <definedName function="false" hidden="false" name="E24P" vbProcedure="false">#REF!</definedName>
    <definedName function="false" hidden="false" name="E25M" vbProcedure="false">#REF!</definedName>
    <definedName function="false" hidden="false" name="E25P" vbProcedure="false">#REF!</definedName>
    <definedName function="false" hidden="false" name="E26E" vbProcedure="false">#REF!</definedName>
    <definedName function="false" hidden="false" name="E26M" vbProcedure="false">#REF!</definedName>
    <definedName function="false" hidden="false" name="E26P" vbProcedure="false">#REF!</definedName>
    <definedName function="false" hidden="false" name="E27E" vbProcedure="false">#REF!</definedName>
    <definedName function="false" hidden="false" name="E27M" vbProcedure="false">#REF!</definedName>
    <definedName function="false" hidden="false" name="E27P" vbProcedure="false">#REF!</definedName>
    <definedName function="false" hidden="false" name="E28E" vbProcedure="false">#REF!</definedName>
    <definedName function="false" hidden="false" name="E28M" vbProcedure="false">#REF!</definedName>
    <definedName function="false" hidden="false" name="E28P" vbProcedure="false">#REF!</definedName>
    <definedName function="false" hidden="false" name="E29M" vbProcedure="false">#REF!</definedName>
    <definedName function="false" hidden="false" name="E29P" vbProcedure="false">#REF!</definedName>
    <definedName function="false" hidden="false" name="E2E" vbProcedure="false">#REF!</definedName>
    <definedName function="false" hidden="false" name="E2M" vbProcedure="false">#REF!</definedName>
    <definedName function="false" hidden="false" name="E2P" vbProcedure="false">#REF!</definedName>
    <definedName function="false" hidden="false" name="E30M" vbProcedure="false">#REF!</definedName>
    <definedName function="false" hidden="false" name="E30P" vbProcedure="false">#REF!</definedName>
    <definedName function="false" hidden="false" name="E31E" vbProcedure="false">#REF!</definedName>
    <definedName function="false" hidden="false" name="E31M" vbProcedure="false">#REF!</definedName>
    <definedName function="false" hidden="false" name="E31P" vbProcedure="false">#REF!</definedName>
    <definedName function="false" hidden="false" name="E32E" vbProcedure="false">#REF!</definedName>
    <definedName function="false" hidden="false" name="E32M" vbProcedure="false">#REF!</definedName>
    <definedName function="false" hidden="false" name="E32P" vbProcedure="false">#REF!</definedName>
    <definedName function="false" hidden="false" name="E33E" vbProcedure="false">#REF!</definedName>
    <definedName function="false" hidden="false" name="E33M" vbProcedure="false">#REF!</definedName>
    <definedName function="false" hidden="false" name="E33P" vbProcedure="false">#REF!</definedName>
    <definedName function="false" hidden="false" name="E34E" vbProcedure="false">#REF!</definedName>
    <definedName function="false" hidden="false" name="E34M" vbProcedure="false">#REF!</definedName>
    <definedName function="false" hidden="false" name="E34P" vbProcedure="false">#REF!</definedName>
    <definedName function="false" hidden="false" name="E35M" vbProcedure="false">#REF!</definedName>
    <definedName function="false" hidden="false" name="E35P" vbProcedure="false">#REF!</definedName>
    <definedName function="false" hidden="false" name="E36M" vbProcedure="false">#REF!</definedName>
    <definedName function="false" hidden="false" name="E36P" vbProcedure="false">#REF!</definedName>
    <definedName function="false" hidden="false" name="E37M" vbProcedure="false">#REF!</definedName>
    <definedName function="false" hidden="false" name="E37P" vbProcedure="false">#REF!</definedName>
    <definedName function="false" hidden="false" name="E38M" vbProcedure="false">#REF!</definedName>
    <definedName function="false" hidden="false" name="E38P" vbProcedure="false">#REF!</definedName>
    <definedName function="false" hidden="false" name="E39M" vbProcedure="false">#REF!</definedName>
    <definedName function="false" hidden="false" name="E39P" vbProcedure="false">#REF!</definedName>
    <definedName function="false" hidden="false" name="E3P" vbProcedure="false">#REF!</definedName>
    <definedName function="false" hidden="false" name="E40M" vbProcedure="false">#REF!</definedName>
    <definedName function="false" hidden="false" name="E40P" vbProcedure="false">#REF!</definedName>
    <definedName function="false" hidden="false" name="E41M" vbProcedure="false">#REF!</definedName>
    <definedName function="false" hidden="false" name="E41P" vbProcedure="false">#REF!</definedName>
    <definedName function="false" hidden="false" name="E42M" vbProcedure="false">#REF!</definedName>
    <definedName function="false" hidden="false" name="E42P" vbProcedure="false">#REF!</definedName>
    <definedName function="false" hidden="false" name="E43M" vbProcedure="false">#REF!</definedName>
    <definedName function="false" hidden="false" name="E43P" vbProcedure="false">#REF!</definedName>
    <definedName function="false" hidden="false" name="E44M" vbProcedure="false">#REF!</definedName>
    <definedName function="false" hidden="false" name="E44P" vbProcedure="false">#REF!</definedName>
    <definedName function="false" hidden="false" name="E45M" vbProcedure="false">#REF!</definedName>
    <definedName function="false" hidden="false" name="E45P" vbProcedure="false">#REF!</definedName>
    <definedName function="false" hidden="false" name="E46M" vbProcedure="false">#REF!</definedName>
    <definedName function="false" hidden="false" name="E46P" vbProcedure="false">#REF!</definedName>
    <definedName function="false" hidden="false" name="E47M" vbProcedure="false">#REF!</definedName>
    <definedName function="false" hidden="false" name="E47P" vbProcedure="false">#REF!</definedName>
    <definedName function="false" hidden="false" name="E48M" vbProcedure="false">#REF!</definedName>
    <definedName function="false" hidden="false" name="E48P" vbProcedure="false">#REF!</definedName>
    <definedName function="false" hidden="false" name="E49M" vbProcedure="false">#REF!</definedName>
    <definedName function="false" hidden="false" name="E49P" vbProcedure="false">#REF!</definedName>
    <definedName function="false" hidden="false" name="E4M" vbProcedure="false">#REF!</definedName>
    <definedName function="false" hidden="false" name="E4P" vbProcedure="false">#REF!</definedName>
    <definedName function="false" hidden="false" name="E50M" vbProcedure="false">#REF!</definedName>
    <definedName function="false" hidden="false" name="E50P" vbProcedure="false">#REF!</definedName>
    <definedName function="false" hidden="false" name="E51E" vbProcedure="false">#REF!</definedName>
    <definedName function="false" hidden="false" name="E52M" vbProcedure="false">#REF!</definedName>
    <definedName function="false" hidden="false" name="E52P" vbProcedure="false">#REF!</definedName>
    <definedName function="false" hidden="false" name="E53M" vbProcedure="false">#REF!</definedName>
    <definedName function="false" hidden="false" name="E53P" vbProcedure="false">#REF!</definedName>
    <definedName function="false" hidden="false" name="E54M" vbProcedure="false">#REF!</definedName>
    <definedName function="false" hidden="false" name="E54P" vbProcedure="false">#REF!</definedName>
    <definedName function="false" hidden="false" name="E55M" vbProcedure="false">#REF!</definedName>
    <definedName function="false" hidden="false" name="E55P" vbProcedure="false">#REF!</definedName>
    <definedName function="false" hidden="false" name="E56M" vbProcedure="false">#REF!</definedName>
    <definedName function="false" hidden="false" name="E56P" vbProcedure="false">#REF!</definedName>
    <definedName function="false" hidden="false" name="E57M" vbProcedure="false">#REF!</definedName>
    <definedName function="false" hidden="false" name="E57P" vbProcedure="false">#REF!</definedName>
    <definedName function="false" hidden="false" name="E58M" vbProcedure="false">#REF!</definedName>
    <definedName function="false" hidden="false" name="E58P" vbProcedure="false">#REF!</definedName>
    <definedName function="false" hidden="false" name="E59M" vbProcedure="false">#REF!</definedName>
    <definedName function="false" hidden="false" name="E59P" vbProcedure="false">#REF!</definedName>
    <definedName function="false" hidden="false" name="E5M" vbProcedure="false">#REF!</definedName>
    <definedName function="false" hidden="false" name="E5P" vbProcedure="false">#REF!</definedName>
    <definedName function="false" hidden="false" name="E60M" vbProcedure="false">#REF!</definedName>
    <definedName function="false" hidden="false" name="E60P" vbProcedure="false">#REF!</definedName>
    <definedName function="false" hidden="false" name="E61M" vbProcedure="false">#REF!</definedName>
    <definedName function="false" hidden="false" name="E61P" vbProcedure="false">#REF!</definedName>
    <definedName function="false" hidden="false" name="E62M" vbProcedure="false">#REF!</definedName>
    <definedName function="false" hidden="false" name="E62P" vbProcedure="false">#REF!</definedName>
    <definedName function="false" hidden="false" name="E63M" vbProcedure="false">#REF!</definedName>
    <definedName function="false" hidden="false" name="E63P" vbProcedure="false">#REF!</definedName>
    <definedName function="false" hidden="false" name="E64M" vbProcedure="false">#REF!</definedName>
    <definedName function="false" hidden="false" name="E64P" vbProcedure="false">#REF!</definedName>
    <definedName function="false" hidden="false" name="E65M" vbProcedure="false">#REF!</definedName>
    <definedName function="false" hidden="false" name="E65P" vbProcedure="false">#REF!</definedName>
    <definedName function="false" hidden="false" name="E66M" vbProcedure="false">#REF!</definedName>
    <definedName function="false" hidden="false" name="E66P" vbProcedure="false">#REF!</definedName>
    <definedName function="false" hidden="false" name="E67M" vbProcedure="false">#REF!</definedName>
    <definedName function="false" hidden="false" name="E67P" vbProcedure="false">#REF!</definedName>
    <definedName function="false" hidden="false" name="E68M" vbProcedure="false">#REF!</definedName>
    <definedName function="false" hidden="false" name="E6M" vbProcedure="false">#REF!</definedName>
    <definedName function="false" hidden="false" name="E6P" vbProcedure="false">#REF!</definedName>
    <definedName function="false" hidden="false" name="E7M" vbProcedure="false">#REF!</definedName>
    <definedName function="false" hidden="false" name="E7P" vbProcedure="false">#REF!</definedName>
    <definedName function="false" hidden="false" name="E8M" vbProcedure="false">#REF!</definedName>
    <definedName function="false" hidden="false" name="E8P" vbProcedure="false">#REF!</definedName>
    <definedName function="false" hidden="false" name="E9M" vbProcedure="false">#REF!</definedName>
    <definedName function="false" hidden="false" name="E9P" vbProcedure="false">#REF!</definedName>
    <definedName function="false" hidden="true" name="ECS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ECS기계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ED" vbProcedure="false">#REF!</definedName>
    <definedName function="false" hidden="false" name="edgh" vbProcedure="false">#REF!</definedName>
    <definedName function="false" hidden="false" name="edit__home__del__branch_\f" vbProcedure="false">#REF!</definedName>
    <definedName function="false" hidden="false" name="edtgh" vbProcedure="false">#REF!</definedName>
    <definedName function="false" hidden="true" name="ee" vbProcedure="false">{#N/A,#N/A,FALSE,"단가표지"}</definedName>
    <definedName function="false" hidden="false" name="eeeeeeeee" vbProcedure="false">blankmacro1</definedName>
    <definedName function="false" hidden="false" name="EF" vbProcedure="false">#REF!</definedName>
    <definedName function="false" hidden="false" name="Efd" vbProcedure="false">#REF!</definedName>
    <definedName function="false" hidden="false" name="Efd_h" vbProcedure="false">#REF!</definedName>
    <definedName function="false" hidden="false" name="ef_val" vbProcedure="false">#REF!</definedName>
    <definedName function="false" hidden="true" name="EK" vbProcedure="false">#REF!</definedName>
    <definedName function="false" hidden="false" name="ENCOST" vbProcedure="false">#N/A</definedName>
    <definedName function="false" hidden="false" name="end_day" vbProcedure="false">#REF!</definedName>
    <definedName function="false" hidden="false" name="end_month" vbProcedure="false">#REF!</definedName>
    <definedName function="false" hidden="false" name="end_year" vbProcedure="false">#REF!</definedName>
    <definedName function="false" hidden="true" name="ENJA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ES" vbProcedure="false">#REF!</definedName>
    <definedName function="false" hidden="false" name="Esd" vbProcedure="false">#REF!</definedName>
    <definedName function="false" hidden="false" name="Esd_h" vbProcedure="false">#REF!</definedName>
    <definedName function="false" hidden="false" name="es_block" vbProcedure="false">#REF!</definedName>
    <definedName function="false" hidden="false" name="es_val" vbProcedure="false">#REF!</definedName>
    <definedName function="false" hidden="false" name="etcrcd" vbProcedure="false">#REF!</definedName>
    <definedName function="false" hidden="false" name="EXE" vbProcedure="false">blankmacro1</definedName>
    <definedName function="false" hidden="false" name="Extract_MI" vbProcedure="false">#REF!</definedName>
    <definedName function="false" hidden="true" name="f" vbProcedure="false">{#N/A,#N/A,FALSE,"월공사비집계표양식 (7)";#N/A,#N/A,FALSE,"월공사비집계표양식 (7)"}</definedName>
    <definedName function="false" hidden="true" name="FDG" vbProcedure="false">{#N/A,#N/A,FALSE,"제목"}</definedName>
    <definedName function="false" hidden="false" name="fdgz" vbProcedure="false">#REF!</definedName>
    <definedName function="false" hidden="true" name="fdhevwtec" vbProcedure="false">{#N/A,#N/A,FALSE,"구조1"}</definedName>
    <definedName function="false" hidden="true" name="fdhg" vbProcedure="false">{#N/A,#N/A,FALSE,"이태원철근"}</definedName>
    <definedName function="false" hidden="true" name="FDS" vbProcedure="false">{#N/A,#N/A,FALSE,"제목"}</definedName>
    <definedName function="false" hidden="true" name="fedgre" vbProcedure="false">{#N/A,#N/A,FALSE,"배수1"}</definedName>
    <definedName function="false" hidden="false" name="FEEL" vbProcedure="false">#REF!</definedName>
    <definedName function="false" hidden="false" name="FF" vbProcedure="false">#REF!</definedName>
    <definedName function="false" hidden="true" name="FFF" vbProcedure="false">{#N/A,#N/A,FALSE,"월공사비집계표양식 (7)";#N/A,#N/A,FALSE,"월공사비집계표양식 (7)"}</definedName>
    <definedName function="false" hidden="false" name="ff_block" vbProcedure="false">#REF!</definedName>
    <definedName function="false" hidden="false" name="FF_h" vbProcedure="false">#REF!</definedName>
    <definedName function="false" hidden="false" name="ff_val" vbProcedure="false">#REF!</definedName>
    <definedName function="false" hidden="true" name="fgn" vbProcedure="false">{#N/A,#N/A,FALSE,"구조2"}</definedName>
    <definedName function="false" hidden="true" name="fgnrt" vbProcedure="false">{#N/A,#N/A,FALSE,"단가표지"}</definedName>
    <definedName function="false" hidden="false" name="fjkf" vbProcedure="false">#REF!</definedName>
    <definedName function="false" hidden="true" name="fkf" vbProcedure="false">#REF!</definedName>
    <definedName function="false" hidden="true" name="FSD" vbProcedure="false">{#N/A,#N/A,FALSE,"제목"}</definedName>
    <definedName function="false" hidden="true" name="FSDAF" vbProcedure="false">{#N/A,#N/A,FALSE,"제목"}</definedName>
    <definedName function="false" hidden="false" name="F_CODE" vbProcedure="false">#N/A</definedName>
    <definedName function="false" hidden="false" name="F_DESC" vbProcedure="false">#N/A</definedName>
    <definedName function="false" hidden="false" name="F_LVL" vbProcedure="false">#N/A</definedName>
    <definedName function="false" hidden="false" name="F_PAGE" vbProcedure="false">#N/A</definedName>
    <definedName function="false" hidden="false" name="F_REMK" vbProcedure="false">#N/A</definedName>
    <definedName function="false" hidden="false" name="F_SEQ" vbProcedure="false">#N/A</definedName>
    <definedName function="false" hidden="false" name="F_SIZE" vbProcedure="false">#N/A</definedName>
    <definedName function="false" hidden="false" name="F_UNIT" vbProcedure="false">#N/A</definedName>
    <definedName function="false" hidden="false" name="g" vbProcedure="false">#REF!</definedName>
    <definedName function="false" hidden="true" name="gb" vbProcedure="false">{#N/A,#N/A,FALSE,"2~8번"}</definedName>
    <definedName function="false" hidden="true" name="GEMCO" vbProcedure="false">#REF!</definedName>
    <definedName function="false" hidden="false" name="get_gjcode" vbProcedure="false">#REF!</definedName>
    <definedName function="false" hidden="false" name="gfdgdgdf" vbProcedure="false">#REF!</definedName>
    <definedName function="false" hidden="false" name="gfggfr" vbProcedure="false">#REF!</definedName>
    <definedName function="false" hidden="true" name="gfsfg" vbProcedure="false">{#N/A,#N/A,FALSE,"이태원철근"}</definedName>
    <definedName function="false" hidden="true" name="gg" vbProcedure="false">{#N/A,#N/A,FALSE,"월공사비집계표양식 (7)";#N/A,#N/A,FALSE,"월공사비집계표양식 (7)"}</definedName>
    <definedName function="false" hidden="false" name="ggg" vbProcedure="false">#REF!</definedName>
    <definedName function="false" hidden="true" name="GGGTR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GGTREW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gh" vbProcedure="false">#REF!</definedName>
    <definedName function="false" hidden="true" name="ghdghdg" vbProcedure="false">{#N/A,#N/A,FALSE,"이태원철근"}</definedName>
    <definedName function="false" hidden="false" name="ghfghf" vbProcedure="false">#REF!</definedName>
    <definedName function="false" hidden="true" name="GHK" vbProcedure="false">{"'용역비'!$A$4:$C$8"}</definedName>
    <definedName function="false" hidden="false" name="gjamount_top" vbProcedure="false">#REF!</definedName>
    <definedName function="false" hidden="false" name="gjcnt_top" vbProcedure="false">#REF!</definedName>
    <definedName function="false" hidden="false" name="GJcord" vbProcedure="false">#REF!</definedName>
    <definedName function="false" hidden="false" name="gjcord_stp" vbProcedure="false">#REF!</definedName>
    <definedName function="false" hidden="false" name="gjcord_top1" vbProcedure="false">#REF!</definedName>
    <definedName function="false" hidden="false" name="gjcord_top10" vbProcedure="false">#REF!</definedName>
    <definedName function="false" hidden="false" name="gjcord_top11" vbProcedure="false">#REF!</definedName>
    <definedName function="false" hidden="false" name="gjcord_top12" vbProcedure="false">#REF!</definedName>
    <definedName function="false" hidden="false" name="gjcord_top13" vbProcedure="false">#REF!</definedName>
    <definedName function="false" hidden="false" name="gjcord_top14" vbProcedure="false">#REF!</definedName>
    <definedName function="false" hidden="false" name="gjcord_top15" vbProcedure="false">#REF!</definedName>
    <definedName function="false" hidden="false" name="gjcord_top16" vbProcedure="false">#REF!</definedName>
    <definedName function="false" hidden="false" name="gjcord_top17" vbProcedure="false">#REF!</definedName>
    <definedName function="false" hidden="false" name="gjcord_top18" vbProcedure="false">#REF!</definedName>
    <definedName function="false" hidden="false" name="gjcord_top19" vbProcedure="false">#REF!</definedName>
    <definedName function="false" hidden="false" name="gjcord_top2" vbProcedure="false">#REF!</definedName>
    <definedName function="false" hidden="false" name="gjcord_top3" vbProcedure="false">#REF!</definedName>
    <definedName function="false" hidden="false" name="gjcord_top4" vbProcedure="false">#REF!</definedName>
    <definedName function="false" hidden="false" name="gjcord_top5" vbProcedure="false">#REF!</definedName>
    <definedName function="false" hidden="false" name="gjcord_top6" vbProcedure="false">#REF!</definedName>
    <definedName function="false" hidden="false" name="gjcord_top7" vbProcedure="false">#REF!</definedName>
    <definedName function="false" hidden="false" name="gjcord_top8" vbProcedure="false">#REF!</definedName>
    <definedName function="false" hidden="false" name="gjcord_top9" vbProcedure="false">#REF!</definedName>
    <definedName function="false" hidden="true" name="GJH" vbProcedure="false">{#N/A,#N/A,FALSE,"제목"}</definedName>
    <definedName function="false" hidden="false" name="gjj" vbProcedure="false">#REF!</definedName>
    <definedName function="false" hidden="false" name="gjnamedata" vbProcedure="false">#REF!</definedName>
    <definedName function="false" hidden="false" name="gjnamedata1" vbProcedure="false">#REF!</definedName>
    <definedName function="false" hidden="false" name="gjnamedata2" vbProcedure="false">#REF!</definedName>
    <definedName function="false" hidden="false" name="gjrate" vbProcedure="false">#REF!</definedName>
    <definedName function="false" hidden="true" name="GMLWD" vbProcedure="false">#REF!</definedName>
    <definedName function="false" hidden="false" name="GONGJONG" vbProcedure="false">#REF!</definedName>
    <definedName function="false" hidden="true" name="grew" vbProcedure="false">#REF!</definedName>
    <definedName function="false" hidden="true" name="GUSTLS" vbProcedure="false">#REF!</definedName>
    <definedName function="false" hidden="true" name="G견적" vbProcedure="false">{#N/A,#N/A,TRUE,"손익보고"}</definedName>
    <definedName function="false" hidden="false" name="G열" vbProcedure="false">#REF!</definedName>
    <definedName function="false" hidden="true" name="ha" vbProcedure="false">{#N/A,#N/A,FALSE,"지침";#N/A,#N/A,FALSE,"환경분석";#N/A,#N/A,FALSE,"Sheet16"}</definedName>
    <definedName function="false" hidden="false" name="HAF" vbProcedure="false">#REF!</definedName>
    <definedName function="false" hidden="true" name="han" vbProcedure="false">#REF!</definedName>
    <definedName function="false" hidden="true" name="hardwar" vbProcedure="false">#REF!</definedName>
    <definedName function="false" hidden="false" name="HBV" vbProcedure="false">#REF!</definedName>
    <definedName function="false" hidden="false" name="HCR" vbProcedure="false">#REF!</definedName>
    <definedName function="false" hidden="false" name="HDSVP" vbProcedure="false">#REF!</definedName>
    <definedName function="false" hidden="true" name="HERE" vbProcedure="false">{#N/A,#N/A,TRUE,"손익보고"}</definedName>
    <definedName function="false" hidden="true" name="HGGGH" vbProcedure="false">{#N/A,#N/A,FALSE,"제목"}</definedName>
    <definedName function="false" hidden="false" name="HHAF" vbProcedure="false">#REF!</definedName>
    <definedName function="false" hidden="true" name="HHHH" vbProcedure="false">#REF!</definedName>
    <definedName function="false" hidden="false" name="HHMF" vbProcedure="false">#REF!</definedName>
    <definedName function="false" hidden="true" name="HJ" vbProcedure="false">{#N/A,#N/A,FALSE,"제목"}</definedName>
    <definedName function="false" hidden="true" name="HJK" vbProcedure="false">{#N/A,#N/A,FALSE,"이태원철근"}</definedName>
    <definedName function="false" hidden="false" name="HMF" vbProcedure="false">#REF!</definedName>
    <definedName function="false" hidden="false" name="HMOTOR" vbProcedure="false">#REF!</definedName>
    <definedName function="false" hidden="false" name="HP" vbProcedure="false">#REF!</definedName>
    <definedName function="false" hidden="false" name="HPUMP" vbProcedure="false">#REF!</definedName>
    <definedName function="false" hidden="true" name="hrbjrjy" vbProcedure="false">{#N/A,#N/A,FALSE,"배수2"}</definedName>
    <definedName function="false" hidden="false" name="HSV" vbProcedure="false">#REF!</definedName>
    <definedName function="false" hidden="true" name="HTML1_1" vbProcedure="false">"'[엑셀95-따라하기 문제.xls]인터넷 어시스턴트'!$A$1:$J$18"</definedName>
    <definedName function="false" hidden="true" name="HTML1_10" vbProcedure="false">"Marihan@hitel.kol.co.kr"</definedName>
    <definedName function="false" hidden="true" name="HTML1_11" vbProcedure="false">1</definedName>
    <definedName function="false" hidden="true" name="HTML1_12" vbProcedure="false">"C:\김종완\원고\[작업중] 한빛-엑셀70\CD-ROM문제\따라하기 문제&amp;그림\MyHTML01.htm"</definedName>
    <definedName function="false" hidden="true" name="HTML1_2" vbProcedure="false">1</definedName>
    <definedName function="false" hidden="true" name="HTML1_3" vbProcedure="false">"엑셀 프로젝트"</definedName>
    <definedName function="false" hidden="true" name="HTML1_4" vbProcedure="false">"인터넷 어시스턴트"</definedName>
    <definedName function="false" hidden="true" name="HTML1_5" vbProcedure="false">"엑셀 워크시트를 HTML문서로 변환한다. 이 적업은 &lt;한빛 미디어&gt; 책에서만 가능하며, [어린왕자]만의 독특한 아이디어 이다."</definedName>
    <definedName function="false" hidden="true" name="HTML1_6" vbProcedure="false">1</definedName>
    <definedName function="false" hidden="true" name="HTML1_7" vbProcedure="false">1</definedName>
    <definedName function="false" hidden="true" name="HTML1_8" vbProcedure="false">"97-10-09"</definedName>
    <definedName function="false" hidden="true" name="HTML1_9" vbProcedure="false">"김종완/어린왕자"</definedName>
    <definedName function="false" hidden="true" name="HTMLCount" vbProcedure="false">1</definedName>
    <definedName function="false" hidden="true" name="HTML_CodePage" vbProcedure="false">949</definedName>
    <definedName function="false" hidden="true" name="HTML_Control" vbProcedure="false">{"'장비'!$A$3:$M$12"}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"장비"</definedName>
    <definedName function="false" hidden="true" name="HTML_LastUpdate" vbProcedure="false">"97-08-05"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"이진화"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"C:\My Documents\MyHTML.htm"</definedName>
    <definedName function="false" hidden="true" name="HTML_Title" vbProcedure="false">"가산동미라보"</definedName>
    <definedName function="false" hidden="true" name="HTR" vbProcedure="false">{#N/A,#N/A,FALSE,"이태원철근"}</definedName>
    <definedName function="false" hidden="false" name="HVAFP" vbProcedure="false">#REF!</definedName>
    <definedName function="false" hidden="false" name="HVMF" vbProcedure="false">#REF!</definedName>
    <definedName function="false" hidden="false" name="HWEI" vbProcedure="false">#REF!</definedName>
    <definedName function="false" hidden="false" name="i" vbProcedure="false">#REF!</definedName>
    <definedName function="false" hidden="false" name="ID" vbProcedure="false">#REF!,#REF!</definedName>
    <definedName function="false" hidden="true" name="IIJELLS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ii_val" vbProcedure="false">#REF!</definedName>
    <definedName function="false" hidden="false" name="ij_cod_blk" vbProcedure="false">#REF!</definedName>
    <definedName function="false" hidden="true" name="iouo" vbProcedure="false">{#N/A,#N/A,FALSE,"배수2"}</definedName>
    <definedName function="false" hidden="true" name="ioup" vbProcedure="false">{#N/A,#N/A,FALSE,"속도"}</definedName>
    <definedName function="false" hidden="false" name="isactirate" vbProcedure="false">#REF!</definedName>
    <definedName function="false" hidden="false" name="ITNUM" vbProcedure="false">#N/A</definedName>
    <definedName function="false" hidden="false" name="iv_check" vbProcedure="false">#REF!</definedName>
    <definedName function="false" hidden="false" name="iv_check2" vbProcedure="false">#REF!</definedName>
    <definedName function="false" hidden="false" name="ix_v" vbProcedure="false">#REF!</definedName>
    <definedName function="false" hidden="false" name="iy_v" vbProcedure="false">#REF!</definedName>
    <definedName function="false" hidden="false" name="i_start" vbProcedure="false">#REF!</definedName>
    <definedName function="false" hidden="false" name="i_val" vbProcedure="false">#REF!</definedName>
    <definedName function="false" hidden="false" name="j" vbProcedure="false">#REF!</definedName>
    <definedName function="false" hidden="false" name="jg" vbProcedure="false">#REF!</definedName>
    <definedName function="false" hidden="false" name="jhjyg" vbProcedure="false">#REF!</definedName>
    <definedName function="false" hidden="true" name="jii" vbProcedure="false">{#N/A,#N/A,FALSE,"골재소요량";#N/A,#N/A,FALSE,"골재소요량"}</definedName>
    <definedName function="false" hidden="true" name="JJFOR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JJHSHHA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JJJ" vbProcedure="false">#REF!</definedName>
    <definedName function="false" hidden="true" name="JJSUW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jklklj" vbProcedure="false">#REF!</definedName>
    <definedName function="false" hidden="true" name="JSH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jytrtysr" vbProcedure="false">{#N/A,#N/A,FALSE,"조골재"}</definedName>
    <definedName function="false" hidden="false" name="j_val" vbProcedure="false">#REF!</definedName>
    <definedName function="false" hidden="true" name="k" vbProcedure="false">{#N/A,#N/A,FALSE,"월공사비집계표양식 (7)";#N/A,#N/A,FALSE,"월공사비집계표양식 (7)"}</definedName>
    <definedName function="false" hidden="true" name="key" vbProcedure="false">#REF!</definedName>
    <definedName function="false" hidden="false" name="kjjh" vbProcedure="false">#REF!</definedName>
    <definedName function="false" hidden="false" name="KK" vbProcedure="false">#REF!</definedName>
    <definedName function="false" hidden="true" name="KKA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DAW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DI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DUEK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ISJJ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K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KDJJ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KEEP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KSJ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KSSL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SIIEJ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SJJWUJ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KSJWEI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knj" vbProcedure="false">{#N/A,#N/A,FALSE,"혼합골재"}</definedName>
    <definedName function="false" hidden="true" name="ktf" vbProcedure="false">#REF!</definedName>
    <definedName function="false" hidden="true" name="kty" vbProcedure="false">#REF!</definedName>
    <definedName function="false" hidden="true" name="kytjnjr" vbProcedure="false">{#N/A,#N/A,FALSE,"토공2"}</definedName>
    <definedName function="false" hidden="false" name="L" vbProcedure="false">#N/A</definedName>
    <definedName function="false" hidden="false" name="labordata" vbProcedure="false">#REF!</definedName>
    <definedName function="false" hidden="true" name="LAK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Lbox1" vbProcedure="false">#REF!</definedName>
    <definedName function="false" hidden="false" name="LF" vbProcedure="false">#REF!</definedName>
    <definedName function="false" hidden="false" name="Lfd" vbProcedure="false">#REF!</definedName>
    <definedName function="false" hidden="false" name="lf_block" vbProcedure="false">#REF!</definedName>
    <definedName function="false" hidden="false" name="lf_val" vbProcedure="false">#REF!</definedName>
    <definedName function="false" hidden="true" name="lijop" vbProcedure="false">{#N/A,#N/A,FALSE,"배수1"}</definedName>
    <definedName function="false" hidden="false" name="LL" vbProcedure="false">#REF!</definedName>
    <definedName function="false" hidden="true" name="LLDIEKK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LLK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LLL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LLLS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LLSIEKDK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LLSKEI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lo" vbProcedure="false">{#N/A,#N/A,FALSE,"2~8번"}</definedName>
    <definedName function="false" hidden="false" name="LS" vbProcedure="false">#REF!</definedName>
    <definedName function="false" hidden="false" name="Lsd" vbProcedure="false">#REF!</definedName>
    <definedName function="false" hidden="false" name="L_1000" vbProcedure="false">#REF!</definedName>
    <definedName function="false" hidden="false" name="L_250" vbProcedure="false">#REF!</definedName>
    <definedName function="false" hidden="false" name="L_300" vbProcedure="false">#REF!</definedName>
    <definedName function="false" hidden="false" name="L_400" vbProcedure="false">#REF!</definedName>
    <definedName function="false" hidden="false" name="L_450" vbProcedure="false">#REF!</definedName>
    <definedName function="false" hidden="false" name="L_500" vbProcedure="false">#REF!</definedName>
    <definedName function="false" hidden="false" name="L_600" vbProcedure="false">#REF!</definedName>
    <definedName function="false" hidden="false" name="L_700" vbProcedure="false">#REF!</definedName>
    <definedName function="false" hidden="false" name="L_800" vbProcedure="false">#REF!</definedName>
    <definedName function="false" hidden="false" name="L_900" vbProcedure="false">#REF!</definedName>
    <definedName function="false" hidden="true" name="m" vbProcedure="false">#REF!</definedName>
    <definedName function="false" hidden="false" name="Main" vbProcedure="false">#REF!</definedName>
    <definedName function="false" hidden="false" name="MAINPART" vbProcedure="false">#REF!</definedName>
    <definedName function="false" hidden="false" name="maintitle_top" vbProcedure="false">#REF!</definedName>
    <definedName function="false" hidden="false" name="mf" vbProcedure="false">#REF!</definedName>
    <definedName function="false" hidden="false" name="MMM" vbProcedure="false">blankmacro1</definedName>
    <definedName function="false" hidden="false" name="MONEY" vbProcedure="false">#REF!,#REF!</definedName>
    <definedName function="false" hidden="false" name="monitor" vbProcedure="false">#REF!</definedName>
    <definedName function="false" hidden="false" name="MOTOR" vbProcedure="false">#REF!</definedName>
    <definedName function="false" hidden="false" name="m_errchk" vbProcedure="false">#REF!</definedName>
    <definedName function="false" hidden="false" name="NAK" vbProcedure="false">#N/A</definedName>
    <definedName function="false" hidden="false" name="NAME" vbProcedure="false">#N/A</definedName>
    <definedName function="false" hidden="false" name="NEW" vbProcedure="false">#REF!</definedName>
    <definedName function="false" hidden="true" name="NEWNAME" vbProcedure="false">{#N/A,#N/A,FALSE,"CCTV"}</definedName>
    <definedName function="false" hidden="false" name="NO" vbProcedure="false">#REF!</definedName>
    <definedName function="false" hidden="false" name="now_ef" vbProcedure="false">#REF!</definedName>
    <definedName function="false" hidden="false" name="now_iv" vbProcedure="false">#REF!</definedName>
    <definedName function="false" hidden="false" name="NUMBER" vbProcedure="false">#REF!</definedName>
    <definedName function="false" hidden="false" name="n_x" vbProcedure="false">#REF!</definedName>
    <definedName function="false" hidden="false" name="n_x1" vbProcedure="false">#REF!</definedName>
    <definedName function="false" hidden="false" name="n_y" vbProcedure="false">#REF!</definedName>
    <definedName function="false" hidden="false" name="n_y1" vbProcedure="false">#REF!</definedName>
    <definedName function="false" hidden="true" name="o" vbProcedure="false">{#N/A,#N/A,FALSE,"월공사비집계표양식 (7)";#N/A,#N/A,FALSE,"월공사비집계표양식 (7)"}</definedName>
    <definedName function="false" hidden="true" name="ODD" vbProcedure="false">{#N/A,#N/A,FALSE,"명세표"}</definedName>
    <definedName function="false" hidden="true" name="ODH" vbProcedure="false">#REF!</definedName>
    <definedName function="false" hidden="true" name="OH" vbProcedure="false">{#N/A,#N/A,FALSE,"명세표"}</definedName>
    <definedName function="false" hidden="true" name="OHH" vbProcedure="false">{#N/A,#N/A,FALSE,"명세표"}</definedName>
    <definedName function="false" hidden="true" name="oi8uip" vbProcedure="false">{#N/A,#N/A,FALSE,"이정표"}</definedName>
    <definedName function="false" hidden="true" name="oik" vbProcedure="false">{#N/A,#N/A,FALSE,"2~8번"}</definedName>
    <definedName function="false" hidden="true" name="oiuyo" vbProcedure="false">{#N/A,#N/A,FALSE,"부대1"}</definedName>
    <definedName function="false" hidden="true" name="old예산" vbProcedure="false">{#N/A,#N/A,TRUE,"손익보고"}</definedName>
    <definedName function="false" hidden="true" name="ONP" vbProcedure="false">#REF!</definedName>
    <definedName function="false" hidden="false" name="OO" vbProcedure="false">#REF!</definedName>
    <definedName function="false" hidden="false" name="OOO" vbProcedure="false">#REF!</definedName>
    <definedName function="false" hidden="true" name="OP" vbProcedure="false">#REF!</definedName>
    <definedName function="false" hidden="true" name="ouio" vbProcedure="false">{#N/A,#N/A,FALSE,"부대2"}</definedName>
    <definedName function="false" hidden="false" name="P" vbProcedure="false">#N/A</definedName>
    <definedName function="false" hidden="false" name="P1693a3" vbProcedure="false">#REF!</definedName>
    <definedName function="false" hidden="true" name="PANEL금액" vbProcedure="false">{#N/A,#N/A,FALSE,"CCTV"}</definedName>
    <definedName function="false" hidden="true" name="PANEL금액비교" vbProcedure="false">{#N/A,#N/A,FALSE,"CCTV"}</definedName>
    <definedName function="false" hidden="false" name="pass_x" vbProcedure="false">#REF!</definedName>
    <definedName function="false" hidden="false" name="pass_x2" vbProcedure="false">#REF!</definedName>
    <definedName function="false" hidden="false" name="pass_x3" vbProcedure="false">#REF!</definedName>
    <definedName function="false" hidden="false" name="pass_x4" vbProcedure="false">#REF!</definedName>
    <definedName function="false" hidden="false" name="pastcod_blk" vbProcedure="false">#REF!</definedName>
    <definedName function="false" hidden="false" name="pastcod_pnt" vbProcedure="false">#REF!</definedName>
    <definedName function="false" hidden="false" name="PIPE40" vbProcedure="false">#REF!</definedName>
    <definedName function="false" hidden="false" name="PJT" vbProcedure="false">#N/A</definedName>
    <definedName function="false" hidden="false" name="PlanRate" vbProcedure="false">#REF!</definedName>
    <definedName function="false" hidden="true" name="plus" vbProcedure="false">{#N/A,#N/A,FALSE,"Sheet1"}</definedName>
    <definedName function="false" hidden="true" name="plus견적서" vbProcedure="false">{#N/A,#N/A,FALSE,"Sheet1"}</definedName>
    <definedName function="false" hidden="false" name="PPP" vbProcedure="false">#REF!</definedName>
    <definedName function="false" hidden="false" name="Pr" vbProcedure="false">#REF!</definedName>
    <definedName function="false" hidden="false" name="PracRate" vbProcedure="false">#REF!</definedName>
    <definedName function="false" hidden="false" name="prg" vbProcedure="false">#REF!</definedName>
    <definedName function="false" hidden="false" name="print" vbProcedure="false">#REF!</definedName>
    <definedName function="false" hidden="false" name="Print_Area\C" vbProcedure="false">#REF!</definedName>
    <definedName function="false" hidden="false" name="PRINT_AREA_MI" vbProcedure="false">#REF!</definedName>
    <definedName function="false" hidden="false" name="PRINT_AREA_MI1" vbProcedure="false">#REF!</definedName>
    <definedName function="false" hidden="false" name="PRINT_TITELS" vbProcedure="false">#REF!</definedName>
    <definedName function="false" hidden="false" name="print_title" vbProcedure="false">#REF!</definedName>
    <definedName function="false" hidden="false" name="PRINT_TITLES_MI" vbProcedure="false">#REF!</definedName>
    <definedName function="false" hidden="false" name="projactiday" vbProcedure="false">#REF!</definedName>
    <definedName function="false" hidden="false" name="projactiday2" vbProcedure="false">#REF!</definedName>
    <definedName function="false" hidden="false" name="projactiday3" vbProcedure="false">#REF!</definedName>
    <definedName function="false" hidden="false" name="projaddr" vbProcedure="false">#REF!</definedName>
    <definedName function="false" hidden="false" name="projapprover" vbProcedure="false">#REF!</definedName>
    <definedName function="false" hidden="false" name="projbuf_0" vbProcedure="false">#REF!</definedName>
    <definedName function="false" hidden="false" name="projbuf_1" vbProcedure="false">#REF!</definedName>
    <definedName function="false" hidden="false" name="projbuf_2" vbProcedure="false">#REF!</definedName>
    <definedName function="false" hidden="false" name="projcalday" vbProcedure="false">#REF!</definedName>
    <definedName function="false" hidden="false" name="projcompoday" vbProcedure="false">#REF!</definedName>
    <definedName function="false" hidden="false" name="projcomposer" vbProcedure="false">#REF!</definedName>
    <definedName function="false" hidden="false" name="projduration" vbProcedure="false">#REF!</definedName>
    <definedName function="false" hidden="false" name="projendday" vbProcedure="false">#REF!</definedName>
    <definedName function="false" hidden="false" name="projname" vbProcedure="false">#REF!</definedName>
    <definedName function="false" hidden="false" name="projstday" vbProcedure="false">#REF!</definedName>
    <definedName function="false" hidden="false" name="projstday2" vbProcedure="false">#REF!</definedName>
    <definedName function="false" hidden="false" name="PUMP" vbProcedure="false">#REF!</definedName>
    <definedName function="false" hidden="false" name="P_1000" vbProcedure="false">#REF!</definedName>
    <definedName function="false" hidden="false" name="P_250" vbProcedure="false">#REF!</definedName>
    <definedName function="false" hidden="false" name="P_300" vbProcedure="false">#REF!</definedName>
    <definedName function="false" hidden="false" name="P_400" vbProcedure="false">#REF!</definedName>
    <definedName function="false" hidden="false" name="P_450" vbProcedure="false">#REF!</definedName>
    <definedName function="false" hidden="false" name="P_500" vbProcedure="false">#REF!</definedName>
    <definedName function="false" hidden="false" name="P_600" vbProcedure="false">#REF!</definedName>
    <definedName function="false" hidden="false" name="P_700" vbProcedure="false">#REF!</definedName>
    <definedName function="false" hidden="false" name="P_800" vbProcedure="false">#REF!</definedName>
    <definedName function="false" hidden="false" name="P_900" vbProcedure="false">#REF!</definedName>
    <definedName function="false" hidden="false" name="P_NAE" vbProcedure="false">#REF!</definedName>
    <definedName function="false" hidden="false" name="P_NAE2" vbProcedure="false">#REF!</definedName>
    <definedName function="false" hidden="false" name="Q" vbProcedure="false">blankmacro1</definedName>
    <definedName function="false" hidden="true" name="Q3WEE" vbProcedure="false">{#N/A,#N/A,FALSE,"조골재"}</definedName>
    <definedName function="false" hidden="true" name="QA" vbProcedure="false">#REF!</definedName>
    <definedName function="false" hidden="true" name="QAC" vbProcedure="false">{#N/A,#N/A,FALSE,"도급대비시행율";#N/A,#N/A,FALSE,"결의서";#N/A,#N/A,FALSE,"내역서";#N/A,#N/A,FALSE,"도급예상"}</definedName>
    <definedName function="false" hidden="true" name="qkqh1" vbProcedure="false">{#N/A,#N/A,FALSE,"명세표"}</definedName>
    <definedName function="false" hidden="false" name="qq" vbProcedure="false">#REF!</definedName>
    <definedName function="false" hidden="false" name="QQQ" vbProcedure="false">#REF!</definedName>
    <definedName function="false" hidden="false" name="qqqq" vbProcedure="false">dlog_show</definedName>
    <definedName function="false" hidden="false" name="QTY" vbProcedure="false">#N/A</definedName>
    <definedName function="false" hidden="true" name="qw" vbProcedure="false">{#N/A,#N/A,FALSE,"단가표지"}</definedName>
    <definedName function="false" hidden="true" name="QWE" vbProcedure="false">{#N/A,#N/A,FALSE,"이태원철근"}</definedName>
    <definedName function="false" hidden="true" name="QWER" vbProcedure="false">{#N/A,#N/A,FALSE,"이태원철근"}</definedName>
    <definedName function="false" hidden="false" name="rate_top" vbProcedure="false">#REF!</definedName>
    <definedName function="false" hidden="false" name="REM" vbProcedure="false">#N/A</definedName>
    <definedName function="false" hidden="true" name="RFYIFIOYGOPIO" vbProcedure="false">#REF!</definedName>
    <definedName function="false" hidden="false" name="rkatnwl" vbProcedure="false">blankmacro1</definedName>
    <definedName function="false" hidden="true" name="rkskek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rlr" vbProcedure="false">#REF!</definedName>
    <definedName function="false" hidden="true" name="Royalty" vbProcedure="false">{#N/A,#N/A,FALSE,"Sheet1"}</definedName>
    <definedName function="false" hidden="false" name="RR" vbProcedure="false">#REF!</definedName>
    <definedName function="false" hidden="true" name="rrr" vbProcedure="false">{#N/A,#N/A,FALSE,"월공사비집계표양식 (7)";#N/A,#N/A,FALSE,"월공사비집계표양식 (7)"}</definedName>
    <definedName function="false" hidden="true" name="RT" vbProcedure="false">{#N/A,#N/A,FALSE,"이태원철근"}</definedName>
    <definedName function="false" hidden="true" name="rwe6vtd" vbProcedure="false">{#N/A,#N/A,FALSE,"표지목차"}</definedName>
    <definedName function="false" hidden="true" name="RWER" vbProcedure="false">{#N/A,#N/A,FALSE,"제목"}</definedName>
    <definedName function="false" hidden="true" name="ryescerfwe" vbProcedure="false">{#N/A,#N/A,FALSE,"부대2"}</definedName>
    <definedName function="false" hidden="false" name="R_1000" vbProcedure="false">#REF!</definedName>
    <definedName function="false" hidden="false" name="R_250" vbProcedure="false">#REF!</definedName>
    <definedName function="false" hidden="false" name="R_300" vbProcedure="false">#REF!</definedName>
    <definedName function="false" hidden="false" name="R_400" vbProcedure="false">#REF!</definedName>
    <definedName function="false" hidden="false" name="R_450" vbProcedure="false">#REF!</definedName>
    <definedName function="false" hidden="false" name="R_500" vbProcedure="false">#REF!</definedName>
    <definedName function="false" hidden="false" name="R_600" vbProcedure="false">#REF!</definedName>
    <definedName function="false" hidden="false" name="R_700" vbProcedure="false">#REF!</definedName>
    <definedName function="false" hidden="false" name="R_800" vbProcedure="false">#REF!</definedName>
    <definedName function="false" hidden="false" name="R_900" vbProcedure="false">#REF!</definedName>
    <definedName function="false" hidden="true" name="r견적" vbProcedure="false">{#N/A,#N/A,FALSE,"월공사비집계표양식 (7)";#N/A,#N/A,FALSE,"월공사비집계표양식 (7)"}</definedName>
    <definedName function="false" hidden="true" name="sad" vbProcedure="false">{#N/A,#N/A,FALSE,"이태원철근"}</definedName>
    <definedName function="false" hidden="false" name="sanch_2" vbProcedure="false">#REF!</definedName>
    <definedName function="false" hidden="false" name="sanch_3" vbProcedure="false">#REF!</definedName>
    <definedName function="false" hidden="false" name="sanch_4" vbProcedure="false">#REF!</definedName>
    <definedName function="false" hidden="false" name="sche_buf1" vbProcedure="false">#REF!</definedName>
    <definedName function="false" hidden="false" name="sche_buf2" vbProcedure="false">#REF!</definedName>
    <definedName function="false" hidden="false" name="sche_buf3" vbProcedure="false">#REF!</definedName>
    <definedName function="false" hidden="false" name="sche_duration" vbProcedure="false">#REF!</definedName>
    <definedName function="false" hidden="false" name="sche_endday" vbProcedure="false">#REF!</definedName>
    <definedName function="false" hidden="false" name="sche_projname" vbProcedure="false">#REF!</definedName>
    <definedName function="false" hidden="false" name="sche_stday" vbProcedure="false">#REF!</definedName>
    <definedName function="false" hidden="false" name="SChonsei" vbProcedure="false">#REF!</definedName>
    <definedName function="false" hidden="false" name="scri_out" vbProcedure="false">#REF!</definedName>
    <definedName function="false" hidden="false" name="scri_top" vbProcedure="false">#REF!</definedName>
    <definedName function="false" hidden="true" name="SCRUBBER" vbProcedure="false">{#N/A,#N/A,FALSE,"CCTV"}</definedName>
    <definedName function="false" hidden="false" name="sd" vbProcedure="false">#REF!</definedName>
    <definedName function="false" hidden="true" name="SDCFG\" vbProcedure="false">{#N/A,#N/A,FALSE,"운반시간"}</definedName>
    <definedName function="false" hidden="true" name="SDF" vbProcedure="false">#REF!</definedName>
    <definedName function="false" hidden="true" name="sdfsgd" vbProcedure="false">{#N/A,#N/A,FALSE,"이태원철근"}</definedName>
    <definedName function="false" hidden="true" name="sdg" vbProcedure="false">#REF!</definedName>
    <definedName function="false" hidden="true" name="SDS" vbProcedure="false">{#N/A,#N/A,FALSE,"2~8번"}</definedName>
    <definedName function="false" hidden="false" name="SELECT" vbProcedure="false">#N/A</definedName>
    <definedName function="false" hidden="true" name="SERVICE" vbProcedure="false">{#N/A,#N/A,FALSE,"이태원철근"}</definedName>
    <definedName function="false" hidden="true" name="SH" vbProcedure="false">{#N/A,#N/A,FALSE,"제목"}</definedName>
    <definedName function="false" hidden="true" name="SHEET100" vbProcedure="false">#REF!</definedName>
    <definedName function="false" hidden="true" name="SHH" vbProcedure="false">{#N/A,#N/A,FALSE,"주간공정";#N/A,#N/A,FALSE,"주간보고";#N/A,#N/A,FALSE,"주간공정표"}</definedName>
    <definedName function="false" hidden="true" name="SK" vbProcedure="false">{#N/A,#N/A,FALSE,"월공사비집계표양식 (7)";#N/A,#N/A,FALSE,"월공사비집계표양식 (7)"}</definedName>
    <definedName function="false" hidden="true" name="solver_cvg" vbProcedure="false">0.001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eg" vbProcedure="false">2</definedName>
    <definedName function="false" hidden="true" name="solver_num" vbProcedure="false">1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1</definedName>
    <definedName function="false" hidden="true" name="solver_rhs1" vbProcedure="false">500000000</definedName>
    <definedName function="false" hidden="true" name="solver_scl" vbProcedure="false">2</definedName>
    <definedName function="false" hidden="true" name="solver_sho" vbProcedure="false">2</definedName>
    <definedName function="false" hidden="true" name="solver_tim" vbProcedure="false">100</definedName>
    <definedName function="false" hidden="true" name="solver_tmp" vbProcedure="false">500000000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false" name="SORTCODE" vbProcedure="false">#N/A</definedName>
    <definedName function="false" hidden="false" name="spi_pnt" vbProcedure="false">#REF!</definedName>
    <definedName function="false" hidden="false" name="sp_i_blk" vbProcedure="false">#REF!</definedName>
    <definedName function="false" hidden="false" name="ss" vbProcedure="false">#REF!</definedName>
    <definedName function="false" hidden="false" name="START" vbProcedure="false">#REF!</definedName>
    <definedName function="false" hidden="false" name="stp0" vbProcedure="false">#REF!</definedName>
    <definedName function="false" hidden="false" name="stp_1" vbProcedure="false">#REF!</definedName>
    <definedName function="false" hidden="false" name="stp_10" vbProcedure="false">#REF!</definedName>
    <definedName function="false" hidden="false" name="stp_11" vbProcedure="false">#REF!</definedName>
    <definedName function="false" hidden="false" name="stp_12" vbProcedure="false">#REF!</definedName>
    <definedName function="false" hidden="false" name="stp_13" vbProcedure="false">#REF!</definedName>
    <definedName function="false" hidden="false" name="stp_14" vbProcedure="false">#REF!</definedName>
    <definedName function="false" hidden="false" name="stp_15" vbProcedure="false">#REF!</definedName>
    <definedName function="false" hidden="false" name="stp_16" vbProcedure="false">#REF!</definedName>
    <definedName function="false" hidden="false" name="stp_17" vbProcedure="false">#REF!</definedName>
    <definedName function="false" hidden="false" name="stp_18" vbProcedure="false">#REF!</definedName>
    <definedName function="false" hidden="false" name="stp_19" vbProcedure="false">#REF!</definedName>
    <definedName function="false" hidden="false" name="stp_2" vbProcedure="false">#REF!</definedName>
    <definedName function="false" hidden="false" name="stp_20" vbProcedure="false">#REF!</definedName>
    <definedName function="false" hidden="false" name="stp_21" vbProcedure="false">#REF!</definedName>
    <definedName function="false" hidden="false" name="stp_22" vbProcedure="false">#REF!</definedName>
    <definedName function="false" hidden="false" name="stp_23" vbProcedure="false">#REF!</definedName>
    <definedName function="false" hidden="false" name="stp_24" vbProcedure="false">#REF!</definedName>
    <definedName function="false" hidden="false" name="stp_25" vbProcedure="false">#REF!</definedName>
    <definedName function="false" hidden="false" name="stp_26" vbProcedure="false">#REF!</definedName>
    <definedName function="false" hidden="false" name="stp_27" vbProcedure="false">#REF!</definedName>
    <definedName function="false" hidden="false" name="stp_28" vbProcedure="false">#REF!</definedName>
    <definedName function="false" hidden="false" name="stp_29" vbProcedure="false">#REF!</definedName>
    <definedName function="false" hidden="false" name="stp_3" vbProcedure="false">#REF!</definedName>
    <definedName function="false" hidden="false" name="stp_30" vbProcedure="false">#REF!</definedName>
    <definedName function="false" hidden="false" name="stp_31" vbProcedure="false">#REF!</definedName>
    <definedName function="false" hidden="false" name="stp_32" vbProcedure="false">#REF!</definedName>
    <definedName function="false" hidden="false" name="stp_33" vbProcedure="false">#REF!</definedName>
    <definedName function="false" hidden="false" name="stp_34" vbProcedure="false">#REF!</definedName>
    <definedName function="false" hidden="false" name="stp_35" vbProcedure="false">#REF!</definedName>
    <definedName function="false" hidden="false" name="stp_36" vbProcedure="false">#REF!</definedName>
    <definedName function="false" hidden="false" name="stp_37" vbProcedure="false">#REF!</definedName>
    <definedName function="false" hidden="false" name="stp_38" vbProcedure="false">#REF!</definedName>
    <definedName function="false" hidden="false" name="stp_39" vbProcedure="false">#REF!</definedName>
    <definedName function="false" hidden="false" name="stp_4" vbProcedure="false">#REF!</definedName>
    <definedName function="false" hidden="false" name="stp_40" vbProcedure="false">#REF!</definedName>
    <definedName function="false" hidden="false" name="stp_41" vbProcedure="false">#REF!</definedName>
    <definedName function="false" hidden="false" name="stp_42" vbProcedure="false">#REF!</definedName>
    <definedName function="false" hidden="false" name="stp_43" vbProcedure="false">#REF!</definedName>
    <definedName function="false" hidden="false" name="stp_44" vbProcedure="false">#REF!</definedName>
    <definedName function="false" hidden="false" name="stp_45" vbProcedure="false">#REF!</definedName>
    <definedName function="false" hidden="false" name="stp_46" vbProcedure="false">#REF!</definedName>
    <definedName function="false" hidden="false" name="stp_47" vbProcedure="false">#REF!</definedName>
    <definedName function="false" hidden="false" name="stp_48" vbProcedure="false">#REF!</definedName>
    <definedName function="false" hidden="false" name="stp_49" vbProcedure="false">#REF!</definedName>
    <definedName function="false" hidden="false" name="stp_5" vbProcedure="false">#REF!</definedName>
    <definedName function="false" hidden="false" name="stp_50" vbProcedure="false">#REF!</definedName>
    <definedName function="false" hidden="false" name="stp_51" vbProcedure="false">#REF!</definedName>
    <definedName function="false" hidden="false" name="stp_52" vbProcedure="false">#REF!</definedName>
    <definedName function="false" hidden="false" name="stp_53" vbProcedure="false">#REF!</definedName>
    <definedName function="false" hidden="false" name="stp_54" vbProcedure="false">#REF!</definedName>
    <definedName function="false" hidden="false" name="stp_55" vbProcedure="false">#REF!</definedName>
    <definedName function="false" hidden="false" name="stp_56" vbProcedure="false">#REF!</definedName>
    <definedName function="false" hidden="false" name="stp_57" vbProcedure="false">#REF!</definedName>
    <definedName function="false" hidden="false" name="stp_58" vbProcedure="false">#REF!</definedName>
    <definedName function="false" hidden="false" name="stp_59" vbProcedure="false">#REF!</definedName>
    <definedName function="false" hidden="false" name="stp_6" vbProcedure="false">#REF!</definedName>
    <definedName function="false" hidden="false" name="stp_60" vbProcedure="false">#REF!</definedName>
    <definedName function="false" hidden="false" name="stp_61" vbProcedure="false">#REF!</definedName>
    <definedName function="false" hidden="false" name="stp_62" vbProcedure="false">#REF!</definedName>
    <definedName function="false" hidden="false" name="stp_63" vbProcedure="false">#REF!</definedName>
    <definedName function="false" hidden="false" name="stp_64" vbProcedure="false">#REF!</definedName>
    <definedName function="false" hidden="false" name="stp_65" vbProcedure="false">#REF!</definedName>
    <definedName function="false" hidden="false" name="stp_66" vbProcedure="false">#REF!</definedName>
    <definedName function="false" hidden="false" name="stp_67" vbProcedure="false">#REF!</definedName>
    <definedName function="false" hidden="false" name="stp_68" vbProcedure="false">#REF!</definedName>
    <definedName function="false" hidden="false" name="stp_69" vbProcedure="false">#REF!</definedName>
    <definedName function="false" hidden="false" name="stp_7" vbProcedure="false">#REF!</definedName>
    <definedName function="false" hidden="false" name="stp_70" vbProcedure="false">#REF!</definedName>
    <definedName function="false" hidden="false" name="stp_71" vbProcedure="false">#REF!</definedName>
    <definedName function="false" hidden="false" name="stp_72" vbProcedure="false">#REF!</definedName>
    <definedName function="false" hidden="false" name="stp_73" vbProcedure="false">#REF!</definedName>
    <definedName function="false" hidden="false" name="stp_74" vbProcedure="false">#REF!</definedName>
    <definedName function="false" hidden="false" name="stp_75" vbProcedure="false">#REF!</definedName>
    <definedName function="false" hidden="false" name="stp_76" vbProcedure="false">#REF!</definedName>
    <definedName function="false" hidden="false" name="stp_77" vbProcedure="false">#REF!</definedName>
    <definedName function="false" hidden="false" name="stp_78" vbProcedure="false">#REF!</definedName>
    <definedName function="false" hidden="false" name="stp_79" vbProcedure="false">#REF!</definedName>
    <definedName function="false" hidden="false" name="stp_8" vbProcedure="false">#REF!</definedName>
    <definedName function="false" hidden="false" name="stp_80" vbProcedure="false">#REF!</definedName>
    <definedName function="false" hidden="false" name="stp_81" vbProcedure="false">#REF!</definedName>
    <definedName function="false" hidden="false" name="stp_82" vbProcedure="false">#REF!</definedName>
    <definedName function="false" hidden="false" name="stp_83" vbProcedure="false">#REF!</definedName>
    <definedName function="false" hidden="false" name="stp_84" vbProcedure="false">#REF!</definedName>
    <definedName function="false" hidden="false" name="stp_85" vbProcedure="false">#REF!</definedName>
    <definedName function="false" hidden="false" name="stp_86" vbProcedure="false">#REF!</definedName>
    <definedName function="false" hidden="false" name="stp_87" vbProcedure="false">#REF!</definedName>
    <definedName function="false" hidden="false" name="stp_88" vbProcedure="false">#REF!</definedName>
    <definedName function="false" hidden="false" name="stp_89" vbProcedure="false">#REF!</definedName>
    <definedName function="false" hidden="false" name="stp_9" vbProcedure="false">#REF!</definedName>
    <definedName function="false" hidden="false" name="stp_90" vbProcedure="false">#REF!</definedName>
    <definedName function="false" hidden="false" name="stp_91" vbProcedure="false">#REF!</definedName>
    <definedName function="false" hidden="false" name="stp_92" vbProcedure="false">#REF!</definedName>
    <definedName function="false" hidden="false" name="stp_93" vbProcedure="false">#REF!</definedName>
    <definedName function="false" hidden="false" name="stp_94" vbProcedure="false">#REF!</definedName>
    <definedName function="false" hidden="false" name="stp_95" vbProcedure="false">#REF!</definedName>
    <definedName function="false" hidden="false" name="stp_96" vbProcedure="false">#REF!</definedName>
    <definedName function="false" hidden="false" name="stp_97" vbProcedure="false">#REF!</definedName>
    <definedName function="false" hidden="false" name="stp_98" vbProcedure="false">#REF!</definedName>
    <definedName function="false" hidden="false" name="stp_99" vbProcedure="false">#REF!</definedName>
    <definedName function="false" hidden="false" name="st_day" vbProcedure="false">#REF!</definedName>
    <definedName function="false" hidden="false" name="st_month" vbProcedure="false">#REF!</definedName>
    <definedName function="false" hidden="false" name="st_monthday" vbProcedure="false">#REF!</definedName>
    <definedName function="false" hidden="false" name="st_year" vbProcedure="false">#REF!</definedName>
    <definedName function="false" hidden="false" name="SubDic" vbProcedure="false">#REF!</definedName>
    <definedName function="false" hidden="false" name="subs_pnt" vbProcedure="false">#REF!</definedName>
    <definedName function="false" hidden="false" name="subs_tn" vbProcedure="false">#REF!</definedName>
    <definedName function="false" hidden="false" name="subtitle_top" vbProcedure="false">#REF!</definedName>
    <definedName function="false" hidden="true" name="SUMMARYT" vbProcedure="false">#REF!</definedName>
    <definedName function="false" hidden="false" name="SUYO" vbProcedure="false">#N/A</definedName>
    <definedName function="false" hidden="false" name="SV" vbProcedure="false">#REF!</definedName>
    <definedName function="false" hidden="true" name="SWS" vbProcedure="false">#REF!</definedName>
    <definedName function="false" hidden="false" name="T10M" vbProcedure="false">#REF!</definedName>
    <definedName function="false" hidden="false" name="T10P" vbProcedure="false">#REF!</definedName>
    <definedName function="false" hidden="false" name="T11M" vbProcedure="false">#REF!</definedName>
    <definedName function="false" hidden="false" name="T11P" vbProcedure="false">#REF!</definedName>
    <definedName function="false" hidden="false" name="T12M" vbProcedure="false">#REF!</definedName>
    <definedName function="false" hidden="false" name="T12P" vbProcedure="false">#REF!</definedName>
    <definedName function="false" hidden="false" name="T13M" vbProcedure="false">#REF!</definedName>
    <definedName function="false" hidden="false" name="T13P" vbProcedure="false">#REF!</definedName>
    <definedName function="false" hidden="false" name="T14M" vbProcedure="false">#REF!</definedName>
    <definedName function="false" hidden="false" name="T14P" vbProcedure="false">#REF!</definedName>
    <definedName function="false" hidden="false" name="T15M" vbProcedure="false">#REF!</definedName>
    <definedName function="false" hidden="false" name="T15P" vbProcedure="false">#REF!</definedName>
    <definedName function="false" hidden="false" name="T16M" vbProcedure="false">#REF!</definedName>
    <definedName function="false" hidden="false" name="T16P" vbProcedure="false">#REF!</definedName>
    <definedName function="false" hidden="false" name="T17M" vbProcedure="false">#REF!</definedName>
    <definedName function="false" hidden="false" name="T17P" vbProcedure="false">#REF!</definedName>
    <definedName function="false" hidden="false" name="T18M" vbProcedure="false">#REF!</definedName>
    <definedName function="false" hidden="false" name="T18P" vbProcedure="false">#REF!</definedName>
    <definedName function="false" hidden="false" name="T19M" vbProcedure="false">#REF!</definedName>
    <definedName function="false" hidden="false" name="T19P" vbProcedure="false">#REF!</definedName>
    <definedName function="false" hidden="false" name="T1E" vbProcedure="false">#REF!</definedName>
    <definedName function="false" hidden="false" name="T1M" vbProcedure="false">#REF!</definedName>
    <definedName function="false" hidden="false" name="T1P" vbProcedure="false">#REF!</definedName>
    <definedName function="false" hidden="false" name="T20M" vbProcedure="false">#REF!</definedName>
    <definedName function="false" hidden="false" name="T20P" vbProcedure="false">#REF!</definedName>
    <definedName function="false" hidden="false" name="T21M" vbProcedure="false">#REF!</definedName>
    <definedName function="false" hidden="false" name="T21P" vbProcedure="false">#REF!</definedName>
    <definedName function="false" hidden="false" name="T22E" vbProcedure="false">#REF!</definedName>
    <definedName function="false" hidden="false" name="T23M" vbProcedure="false">#REF!</definedName>
    <definedName function="false" hidden="false" name="T23P" vbProcedure="false">#REF!</definedName>
    <definedName function="false" hidden="false" name="T24M" vbProcedure="false">#REF!</definedName>
    <definedName function="false" hidden="false" name="T24P" vbProcedure="false">#REF!</definedName>
    <definedName function="false" hidden="false" name="T2E" vbProcedure="false">#REF!</definedName>
    <definedName function="false" hidden="false" name="T2M" vbProcedure="false">#REF!</definedName>
    <definedName function="false" hidden="false" name="T2P" vbProcedure="false">#REF!</definedName>
    <definedName function="false" hidden="false" name="T3P" vbProcedure="false">#REF!</definedName>
    <definedName function="false" hidden="false" name="T4M" vbProcedure="false">#REF!</definedName>
    <definedName function="false" hidden="false" name="T4P" vbProcedure="false">#REF!</definedName>
    <definedName function="false" hidden="false" name="T5M" vbProcedure="false">#REF!</definedName>
    <definedName function="false" hidden="false" name="T5P" vbProcedure="false">#REF!</definedName>
    <definedName function="false" hidden="false" name="T6M" vbProcedure="false">#REF!</definedName>
    <definedName function="false" hidden="false" name="T6P" vbProcedure="false">#REF!</definedName>
    <definedName function="false" hidden="false" name="T7M" vbProcedure="false">#REF!</definedName>
    <definedName function="false" hidden="false" name="T7P" vbProcedure="false">#REF!</definedName>
    <definedName function="false" hidden="false" name="T8M" vbProcedure="false">#REF!</definedName>
    <definedName function="false" hidden="false" name="T8P" vbProcedure="false">#REF!</definedName>
    <definedName function="false" hidden="false" name="T9M" vbProcedure="false">#REF!</definedName>
    <definedName function="false" hidden="false" name="T9P" vbProcedure="false">#REF!</definedName>
    <definedName function="false" hidden="false" name="TChonsei" vbProcedure="false">#REF!</definedName>
    <definedName function="false" hidden="false" name="TDeposit" vbProcedure="false">#REF!</definedName>
    <definedName function="false" hidden="false" name="tempActiAmount" vbProcedure="false">#REF!</definedName>
    <definedName function="false" hidden="false" name="tem_val" vbProcedure="false">#REF!</definedName>
    <definedName function="false" hidden="false" name="TF" vbProcedure="false">#REF!</definedName>
    <definedName function="false" hidden="true" name="TN" vbProcedure="false">#REF!</definedName>
    <definedName function="false" hidden="false" name="TodayUnit" vbProcedure="false">#REF!</definedName>
    <definedName function="false" hidden="true" name="todl" vbProcedure="false">#REF!</definedName>
    <definedName function="false" hidden="true" name="tofms" vbProcedure="false">#REF!</definedName>
    <definedName function="false" hidden="false" name="TOO" vbProcedure="false">#N/A</definedName>
    <definedName function="false" hidden="false" name="totrcd" vbProcedure="false">#REF!</definedName>
    <definedName function="false" hidden="true" name="tr" vbProcedure="false">#REF!</definedName>
    <definedName function="false" hidden="false" name="TRent" vbProcedure="false">#REF!</definedName>
    <definedName function="false" hidden="false" name="ttgj_blk" vbProcedure="false">#REF!</definedName>
    <definedName function="false" hidden="false" name="ttgj_top" vbProcedure="false">#REF!</definedName>
    <definedName function="false" hidden="false" name="TTT" vbProcedure="false">#REF!</definedName>
    <definedName function="false" hidden="true" name="TTTT" vbProcedure="false">#REF!</definedName>
    <definedName function="false" hidden="true" name="tytju4tewete" vbProcedure="false">{#N/A,#N/A,FALSE,"속도"}</definedName>
    <definedName function="false" hidden="false" name="T_AMOUNT" vbProcedure="false">#N/A</definedName>
    <definedName function="false" hidden="false" name="T_UPRICE" vbProcedure="false">#N/A</definedName>
    <definedName function="false" hidden="true" name="uhio8ou" vbProcedure="false">{#N/A,#N/A,FALSE,"포장2"}</definedName>
    <definedName function="false" hidden="true" name="uiok" vbProcedure="false">{#N/A,#N/A,FALSE,"표지목차"}</definedName>
    <definedName function="false" hidden="true" name="ujk" vbProcedure="false">{#N/A,#N/A,FALSE,"운반시간"}</definedName>
    <definedName function="false" hidden="false" name="unitcol" vbProcedure="false">#REF!</definedName>
    <definedName function="false" hidden="false" name="unit_top" vbProcedure="false">#REF!</definedName>
    <definedName function="false" hidden="true" name="uoi8p" vbProcedure="false">{#N/A,#N/A,FALSE,"운반시간"}</definedName>
    <definedName function="false" hidden="true" name="uoi8u" vbProcedure="false">{#N/A,#N/A,FALSE,"토공2"}</definedName>
    <definedName function="false" hidden="true" name="uoio" vbProcedure="false">{#N/A,#N/A,FALSE,"포장1";#N/A,#N/A,FALSE,"포장1"}</definedName>
    <definedName function="false" hidden="true" name="uoiup" vbProcedure="false">{#N/A,#N/A,FALSE,"구조1"}</definedName>
    <definedName function="false" hidden="false" name="used_xv" vbProcedure="false">#REF!</definedName>
    <definedName function="false" hidden="false" name="userzm" vbProcedure="false">#REF!</definedName>
    <definedName function="false" hidden="false" name="userzmcol" vbProcedure="false">#REF!</definedName>
    <definedName function="false" hidden="true" name="uyjesc" vbProcedure="false">{#N/A,#N/A,FALSE,"포장1";#N/A,#N/A,FALSE,"포장1"}</definedName>
    <definedName function="false" hidden="true" name="v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VAFP" vbProcedure="false">#REF!</definedName>
    <definedName function="false" hidden="true" name="VB" vbProcedure="false">{#N/A,#N/A,FALSE,"이태원철근"}</definedName>
    <definedName function="false" hidden="true" name="VBN" vbProcedure="false">{#N/A,#N/A,FALSE,"이태원철근"}</definedName>
    <definedName function="false" hidden="false" name="VBV" vbProcedure="false">#REF!</definedName>
    <definedName function="false" hidden="false" name="VCR" vbProcedure="false">#REF!</definedName>
    <definedName function="false" hidden="false" name="VDSVP" vbProcedure="false">#REF!</definedName>
    <definedName function="false" hidden="false" name="VHAF" vbProcedure="false">#REF!</definedName>
    <definedName function="false" hidden="false" name="VHMF" vbProcedure="false">#REF!</definedName>
    <definedName function="false" hidden="false" name="VMF" vbProcedure="false">#REF!</definedName>
    <definedName function="false" hidden="false" name="VMOTOR" vbProcedure="false">#REF!</definedName>
    <definedName function="false" hidden="false" name="VPUMP" vbProcedure="false">#REF!</definedName>
    <definedName function="false" hidden="false" name="VSV" vbProcedure="false">#REF!</definedName>
    <definedName function="false" hidden="false" name="VVAFP" vbProcedure="false">#REF!</definedName>
    <definedName function="false" hidden="false" name="VVMF" vbProcedure="false">#REF!</definedName>
    <definedName function="false" hidden="false" name="VVV" vbProcedure="false">#REF!</definedName>
    <definedName function="false" hidden="true" name="vwat" vbProcedure="false">{#N/A,#N/A,FALSE,"운반시간"}</definedName>
    <definedName function="false" hidden="false" name="VWEI" vbProcedure="false">#REF!</definedName>
    <definedName function="false" hidden="false" name="w" vbProcedure="false">#REF!</definedName>
    <definedName function="false" hidden="false" name="WEI" vbProcedure="false">#REF!</definedName>
    <definedName function="false" hidden="false" name="wessdd" vbProcedure="false">#REF!</definedName>
    <definedName function="false" hidden="true" name="win.VESSEL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win.VESSEL_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WLQ" vbProcedure="false">{#N/A,#N/A,FALSE,"명세표"}</definedName>
    <definedName function="false" hidden="true" name="wm.조골재1" vbProcedure="false">{#N/A,#N/A,FALSE,"조골재"}</definedName>
    <definedName function="false" hidden="true" name="woogi" vbProcedure="false">#REF!</definedName>
    <definedName function="false" hidden="true" name="woogi2" vbProcedure="false">#REF!</definedName>
    <definedName function="false" hidden="true" name="WQR" vbProcedure="false">{#N/A,#N/A,FALSE,"Sheet1"}</definedName>
    <definedName function="false" hidden="true" name="WRITE" vbProcedure="false">{#N/A,#N/A,FALSE,"CCTV"}</definedName>
    <definedName function="false" hidden="true" name="wrn.0812ESC." vbProcedure="false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function="false" hidden="true" name="wrn.111." vbProcedure="false">{#N/A,#N/A,FALSE,"제목"}</definedName>
    <definedName function="false" hidden="true" name="wrn.2번." vbProcedure="false">{#N/A,#N/A,FALSE,"2~8번"}</definedName>
    <definedName function="false" hidden="true" name="wrn.34건물기초." vbProcedure="false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function="false" hidden="true" name="wrn.97." vbProcedure="false">{#N/A,#N/A,FALSE,"지침";#N/A,#N/A,FALSE,"환경분석";#N/A,#N/A,FALSE,"Sheet16"}</definedName>
    <definedName function="false" hidden="true" name="wrn.97년._.사업계획._.및._.예산지침." vbProcedure="false">{#N/A,#N/A,TRUE,"1";#N/A,#N/A,TRUE,"2";#N/A,#N/A,TRUE,"3";#N/A,#N/A,TRUE,"4";#N/A,#N/A,TRUE,"5";#N/A,#N/A,TRUE,"6";#N/A,#N/A,TRUE,"7"}</definedName>
    <definedName function="false" hidden="true" name="WRN.98." vbProcedure="false">{#N/A,#N/A,FALSE,"지침";#N/A,#N/A,FALSE,"환경분석";#N/A,#N/A,FALSE,"Sheet16"}</definedName>
    <definedName function="false" hidden="true" name="wrn.ac30prn." vbProcedure="false">{#N/A,#N/A,FALSE,"별표20 ";#N/A,#N/A,FALSE,"부표";#N/A,#N/A,FALSE,"품셈내역";#N/A,#N/A,FALSE,"품셈집계";#N/A,#N/A,FALSE,"내역서";#N/A,#N/A,FALSE,"집계표";#N/A,#N/A,FALSE,"표지";#N/A,#N/A,FALSE,"별표총괄표"}</definedName>
    <definedName function="false" hidden="true" name="wrn.BM." vbProcedure="false">{#N/A,#N/A,FALSE,"CCTV"}</definedName>
    <definedName function="false" hidden="true" name="wrn.test1." vbProcedure="false">{#N/A,#N/A,FALSE,"명세표"}</definedName>
    <definedName function="false" hidden="true" name="wrn.VESSEL및N2._.구입사양서.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wrn.ㅁㅁㅁ." vbProcedure="false">{#N/A,#N/A,FALSE,"월공사비집계표양식 (7)";#N/A,#N/A,FALSE,"월공사비집계표양식 (7)"}</definedName>
    <definedName function="false" hidden="true" name="wrn.건물기초." vbProcedure="false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function="false" hidden="true" name="wrn.건설기계사업소._.상반기보고." vbProcedure="false">{#N/A,#N/A,FALSE,"사업총괄";#N/A,#N/A,FALSE,"장비사업";#N/A,#N/A,FALSE,"철구사업";#N/A,#N/A,FALSE,"준설사업"}</definedName>
    <definedName function="false" hidden="true" name="wrn.골재소요량." vbProcedure="false">{#N/A,#N/A,FALSE,"골재소요량";#N/A,#N/A,FALSE,"골재소요량"}</definedName>
    <definedName function="false" hidden="true" name="wrn.교육청." vbProcedure="false">{#N/A,#N/A,FALSE,"전력간선"}</definedName>
    <definedName function="false" hidden="true" name="wrn.구조2." vbProcedure="false">{#N/A,#N/A,FALSE,"구조2"}</definedName>
    <definedName function="false" hidden="true" name="wrn.기성." vbProcedure="false">{#N/A,#N/A,FALSE,"신청통보";#N/A,#N/A,FALSE,"기성확인서";#N/A,#N/A,FALSE,"기성내역서"}</definedName>
    <definedName function="false" hidden="true" name="wrn.기초." vbProcedure="false">{#N/A,#N/A,FALSE,"터빈집계";#N/A,#N/A,FALSE,"터빈내역";#N/A,#N/A,FALSE,"보일러집계";#N/A,#N/A,FALSE,"보일러내역"}</definedName>
    <definedName function="false" hidden="true" name="wrn.단가표지." vbProcedure="false">{#N/A,#N/A,FALSE,"단가표지"}</definedName>
    <definedName function="false" hidden="true" name="wrn.배수1." vbProcedure="false">{#N/A,#N/A,FALSE,"배수1"}</definedName>
    <definedName function="false" hidden="true" name="wrn.배수2." vbProcedure="false">{#N/A,#N/A,FALSE,"배수2"}</definedName>
    <definedName function="false" hidden="true" name="wrn.변경예산." vbProcedure="false">{#N/A,#N/A,FALSE,"변경관리예산";#N/A,#N/A,FALSE,"변경장비예산";#N/A,#N/A,FALSE,"변경준설예산";#N/A,#N/A,FALSE,"변경철구예산"}</definedName>
    <definedName function="false" hidden="true" name="wrn.보일러마감." vbProcedure="false">{#N/A,#N/A,FALSE,"물가변동 (2)";#N/A,#N/A,FALSE,"공사비";#N/A,#N/A,FALSE,"사급";#N/A,#N/A,FALSE,"도급집계";#N/A,#N/A,FALSE,"재료비";#N/A,#N/A,FALSE,"노무비";#N/A,#N/A,FALSE,"경비"}</definedName>
    <definedName function="false" hidden="true" name="wrn.부대1." vbProcedure="false">{#N/A,#N/A,FALSE,"부대1"}</definedName>
    <definedName function="false" hidden="true" name="wrn.부대2." vbProcedure="false">{#N/A,#N/A,FALSE,"부대2"}</definedName>
    <definedName function="false" hidden="true" name="wrn.부산주경기장.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wrn.사업현황." vbProcedure="false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function="false" hidden="true" name="wrn.속도." vbProcedure="false">{#N/A,#N/A,FALSE,"속도"}</definedName>
    <definedName function="false" hidden="true" name="wrn.손익._.보고." vbProcedure="false">{#N/A,#N/A,TRUE,"손익보고"}</definedName>
    <definedName function="false" hidden="true" name="wrn.손익보고.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wrn.수." vbProcedure="false">{#N/A,"수불부",FALSE,"사급자재수불서";#N/A,"수불부",FALSE,"사급자재수불서"}</definedName>
    <definedName function="false" hidden="true" name="wrn.시행결의." vbProcedure="false">{#N/A,#N/A,FALSE,"도급대비시행율";#N/A,#N/A,FALSE,"결의서";#N/A,#N/A,FALSE,"내역서";#N/A,#N/A,FALSE,"도급예상"}</definedName>
    <definedName function="false" hidden="true" name="wrn.신용찬." vbProcedure="false">{#N/A,#N/A,TRUE,"토적및재료집계";#N/A,#N/A,TRUE,"토적및재료집계";#N/A,#N/A,TRUE,"단위량"}</definedName>
    <definedName function="false" hidden="true" name="wrn.업체별._.견적공사명." vbProcedure="false">{"SJ - 기본 보기",#N/A,FALSE,"공사별 외주견적"}</definedName>
    <definedName function="false" hidden="true" name="wrn.연동제." vbProcedure="false">{#N/A,#N/A,TRUE,"총괄"}</definedName>
    <definedName function="false" hidden="true" name="wrn.예상손익." vbProcedure="false">{#N/A,#N/A,FALSE,"예상손익";#N/A,#N/A,FALSE,"관리분석";#N/A,#N/A,FALSE,"장비분석";#N/A,#N/A,FALSE,"준설분석";#N/A,#N/A,FALSE,"철구분석"}</definedName>
    <definedName function="false" hidden="true" name="wrn.외주기성." vbProcedure="false">{#N/A,#N/A,FALSE,"신청통보";#N/A,#N/A,FALSE,"기성확인서";#N/A,#N/A,FALSE,"기성내역서"}</definedName>
    <definedName function="false" hidden="true" name="wrn.운반시간." vbProcedure="false">{#N/A,#N/A,FALSE,"운반시간"}</definedName>
    <definedName function="false" hidden="true" name="wrn.이정표." vbProcedure="false">{#N/A,#N/A,FALSE,"이정표"}</definedName>
    <definedName function="false" hidden="true" name="wrn.이태원._.철근." vbProcedure="false">{#N/A,#N/A,FALSE,"이태원철근"}</definedName>
    <definedName function="false" hidden="true" name="wrn.일위대가." vbProcedure="false">{#N/A,#N/A,TRUE,"대가1"}</definedName>
    <definedName function="false" hidden="true" name="wrn.전열선출서." vbProcedure="false">{#N/A,#N/A,FALSE,"전열산출서"}</definedName>
    <definedName function="false" hidden="true" name="wrn.조골재." vbProcedure="false">{#N/A,#N/A,FALSE,"조골재"}</definedName>
    <definedName function="false" hidden="true" name="wrn.주간보고." vbProcedure="false">{#N/A,#N/A,FALSE,"주간공정";#N/A,#N/A,FALSE,"주간보고";#N/A,#N/A,FALSE,"주간공정표"}</definedName>
    <definedName function="false" hidden="true" name="wrn.지수1.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name="wrn.집기비품보고서._.품목별._.및._.현장별._.집계표." vbProcedure="false">{#N/A,#N/A,FALSE,"Sheet6"}</definedName>
    <definedName function="false" hidden="true" name="wrn.철골집계표._.5칸." vbProcedure="false">{#N/A,#N/A,FALSE,"Sheet1"}</definedName>
    <definedName function="false" hidden="true" name="wrn.토공1." vbProcedure="false">{#N/A,#N/A,FALSE,"구조1"}</definedName>
    <definedName function="false" hidden="true" name="wrn.토공2." vbProcedure="false">{#N/A,#N/A,FALSE,"토공2"}</definedName>
    <definedName function="false" hidden="true" name="wrn.포장1." vbProcedure="false">{#N/A,#N/A,FALSE,"포장1";#N/A,#N/A,FALSE,"포장1"}</definedName>
    <definedName function="false" hidden="true" name="wrn.포장2." vbProcedure="false">{#N/A,#N/A,FALSE,"포장2"}</definedName>
    <definedName function="false" hidden="true" name="wrn.표지." vbProcedure="false">{#N/A,#N/A,FALSE,"표지"}</definedName>
    <definedName function="false" hidden="true" name="wrn.표지목차." vbProcedure="false">{#N/A,#N/A,FALSE,"표지목차"}</definedName>
    <definedName function="false" hidden="true" name="wrn.현장._.NCR._.분석." vbProcedure="false">{#N/A,#N/A,FALSE,"현장 NCR 분석";#N/A,#N/A,FALSE,"현장품질감사";#N/A,#N/A,FALSE,"현장품질감사"}</definedName>
    <definedName function="false" hidden="true" name="wrn.혼합골재." vbProcedure="false">{#N/A,#N/A,FALSE,"혼합골재"}</definedName>
    <definedName function="false" hidden="true" name="wtvegrh" vbProcedure="false">{#N/A,#N/A,FALSE,"포장2"}</definedName>
    <definedName function="false" hidden="true" name="wvyh" vbProcedure="false">{#N/A,#N/A,FALSE,"혼합골재"}</definedName>
    <definedName function="false" hidden="false" name="WW" vbProcedure="false">#REF!</definedName>
    <definedName function="false" hidden="false" name="www" vbProcedure="false">blankmacro1</definedName>
    <definedName function="false" hidden="false" name="wwwww" vbProcedure="false">blankmacro1</definedName>
    <definedName function="false" hidden="false" name="wwwwww" vbProcedure="false">blankmacro1</definedName>
    <definedName function="false" hidden="false" name="wwwwwwww" vbProcedure="false">blankmacro1</definedName>
    <definedName function="false" hidden="false" name="wwwwwwwwww" vbProcedure="false">blankmacro1</definedName>
    <definedName function="false" hidden="false" name="wwwwwwwwwwwwww" vbProcedure="false">blankmacro1</definedName>
    <definedName function="false" hidden="false" name="wwwwwwwwwwwwwwwww" vbProcedure="false">blankmacro1</definedName>
    <definedName function="false" hidden="true" name="x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XCVBGSDFGSER" vbProcedure="false">#REF!</definedName>
    <definedName function="false" hidden="false" name="xxx" vbProcedure="false">#REF!</definedName>
    <definedName function="false" hidden="false" name="xy_cod_blk" vbProcedure="false">#REF!</definedName>
    <definedName function="false" hidden="true" name="y5bewy5vgr" vbProcedure="false">{#N/A,#N/A,FALSE,"운반시간"}</definedName>
    <definedName function="false" hidden="true" name="YBG견적서통" vbProcedure="false">{#N/A,#N/A,TRUE,"손익보고"}</definedName>
    <definedName function="false" hidden="false" name="YE" vbProcedure="false">#N/A</definedName>
    <definedName function="false" hidden="false" name="YEKA" vbProcedure="false">#N/A</definedName>
    <definedName function="false" hidden="false" name="YOUNG" vbProcedure="false">#REF!</definedName>
    <definedName function="false" hidden="true" name="yuy" vbProcedure="false">{#N/A,#N/A,FALSE,"단가표지"}</definedName>
    <definedName function="false" hidden="true" name="yvdfvhd" vbProcedure="false">{#N/A,#N/A,FALSE,"이정표"}</definedName>
    <definedName function="false" hidden="true" name="ywrtvwvy" vbProcedure="false">{#N/A,#N/A,FALSE,"부대1"}</definedName>
    <definedName function="false" hidden="false" name="y_errchk" vbProcedure="false">#REF!</definedName>
    <definedName function="false" hidden="false" name="Z" vbProcedure="false">#REF!</definedName>
    <definedName function="false" hidden="false" name="zoomcolumn" vbProcedure="false">#REF!</definedName>
    <definedName function="false" hidden="false" name="zoomrate" vbProcedure="false">#REF!</definedName>
    <definedName function="false" hidden="true" name="ZXC" vbProcedure="false">{#N/A,#N/A,FALSE,"이태원철근"}</definedName>
    <definedName function="false" hidden="false" name="zz" vbProcedure="false">#REF!</definedName>
    <definedName function="false" hidden="true" name="Z_1F713D72_E6F4_11D3_8E1E_00A0244E179B_.wvu.Cols" vbProcedure="false">#REF!</definedName>
    <definedName function="false" hidden="true" name="Z_1F713D72_E6F4_11D3_8E1E_00A0244E179B_.wvu.PrintArea" vbProcedure="false">#REF!</definedName>
    <definedName function="false" hidden="true" name="Z_BFEEB821_E6AD_11D3_88E4_00E09870C276_.wvu.PrintArea" vbProcedure="false">#REF!</definedName>
    <definedName function="false" hidden="true" name="Z_F6AB6A24_E5D5_11D3_B573_00104BA1686B_.wvu.Cols" vbProcedure="false">#REF!,#REF!,#REF!</definedName>
    <definedName function="false" hidden="false" name="\0" vbProcedure="false">#N/A</definedName>
    <definedName function="false" hidden="false" name="\a" vbProcedure="false">#REF!</definedName>
    <definedName function="false" hidden="false" name="\b" vbProcedure="false">#REF!</definedName>
    <definedName function="false" hidden="false" name="\c" vbProcedure="false">#REF!</definedName>
    <definedName function="false" hidden="false" name="\d" vbProcedure="false">#REF!</definedName>
    <definedName function="false" hidden="false" name="\f" vbProcedure="false">#REF!</definedName>
    <definedName function="false" hidden="false" name="\g" vbProcedure="false">#REF!</definedName>
    <definedName function="false" hidden="false" name="\h" vbProcedure="false">#REF!</definedName>
    <definedName function="false" hidden="false" name="\i" vbProcedure="false">#N/A</definedName>
    <definedName function="false" hidden="false" name="\j" vbProcedure="false">#REF!</definedName>
    <definedName function="false" hidden="false" name="\k" vbProcedure="false">#REF!</definedName>
    <definedName function="false" hidden="false" name="\l" vbProcedure="false">#REF!</definedName>
    <definedName function="false" hidden="false" name="\m" vbProcedure="false">#REF!</definedName>
    <definedName function="false" hidden="false" name="\n" vbProcedure="false">#N/A</definedName>
    <definedName function="false" hidden="false" name="\o" vbProcedure="false">#N/A</definedName>
    <definedName function="false" hidden="false" name="\p" vbProcedure="false">#N/A</definedName>
    <definedName function="false" hidden="false" name="\q" vbProcedure="false">#REF!</definedName>
    <definedName function="false" hidden="false" name="\r" vbProcedure="false">#N/A</definedName>
    <definedName function="false" hidden="false" name="\s" vbProcedure="false">#N/A</definedName>
    <definedName function="false" hidden="false" name="\t" vbProcedure="false">#REF!</definedName>
    <definedName function="false" hidden="false" name="\u" vbProcedure="false">#N/A</definedName>
    <definedName function="false" hidden="false" name="\v" vbProcedure="false">#REF!</definedName>
    <definedName function="false" hidden="false" name="\x" vbProcedure="false">#REF!</definedName>
    <definedName function="false" hidden="false" name="\z" vbProcedure="false">#REF!</definedName>
    <definedName function="false" hidden="false" name="_" vbProcedure="false">#N/A</definedName>
    <definedName function="false" hidden="false" name="_05._위생설비공사" vbProcedure="false">#REF!</definedName>
    <definedName function="false" hidden="false" name="_1" vbProcedure="false">#N/A</definedName>
    <definedName function="false" hidden="false" name="_1218000897" vbProcedure="false">#REF!</definedName>
    <definedName function="false" hidden="true" name="_13__wrn.Ã¶°ñÁý°èÇ_._.5Ä­." vbProcedure="false">{#N/A,#N/A,FALSE,"Sheet1"}</definedName>
    <definedName function="false" hidden="false" name="_1공장" vbProcedure="false">#REF!</definedName>
    <definedName function="false" hidden="false" name="_2" vbProcedure="false">#N/A</definedName>
    <definedName function="false" hidden="true" name="_26¤§¤_¤¡" vbProcedure="false">{#N/A,#N/A,FALSE,"Sheet1"}</definedName>
    <definedName function="false" hidden="true" name="_28_0__123Grap" vbProcedure="false">#REF!</definedName>
    <definedName function="false" hidden="false" name="_2공장" vbProcedure="false">#REF!</definedName>
    <definedName function="false" hidden="true" name="_30_0_Dist_" vbProcedure="false">#REF!</definedName>
    <definedName function="false" hidden="true" name="_38wrn.Ã¶°ñÁý°èÇ_._.5Ä­." vbProcedure="false">{#N/A,#N/A,FALSE,"Sheet1"}</definedName>
    <definedName function="false" hidden="false" name="_3공장" vbProcedure="false">#REF!</definedName>
    <definedName function="false" hidden="true" name="_6__¤§¤_¤¡" vbProcedure="false">{#N/A,#N/A,FALSE,"Sheet1"}</definedName>
    <definedName function="false" hidden="false" name="_A" vbProcedure="false">#REF!</definedName>
    <definedName function="false" hidden="false" name="_A100000" vbProcedure="false">#REF!</definedName>
    <definedName function="false" hidden="false" name="_A183154" vbProcedure="false">#REF!</definedName>
    <definedName function="false" hidden="false" name="_A66000" vbProcedure="false">#REF!</definedName>
    <definedName function="false" hidden="false" name="_A67000" vbProcedure="false">#REF!</definedName>
    <definedName function="false" hidden="false" name="_A68000" vbProcedure="false">#REF!</definedName>
    <definedName function="false" hidden="false" name="_A80000" vbProcedure="false">#REF!</definedName>
    <definedName function="false" hidden="true" name="_ECS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_IJ66980" vbProcedure="false">#REF!</definedName>
    <definedName function="false" hidden="true" name="_KD2" vbProcedure="false">#REF!</definedName>
    <definedName function="false" hidden="true" name="_KD3" vbProcedure="false">#REF!</definedName>
    <definedName function="false" hidden="true" name="_Key11" vbProcedure="false">#REF!</definedName>
    <definedName function="false" hidden="true" name="_Key3" vbProcedure="false">#REF!</definedName>
    <definedName function="false" hidden="true" name="_kfkf" vbProcedure="false">#REF!</definedName>
    <definedName function="false" hidden="true" name="_KHM111" vbProcedure="false">{#N/A,#N/A,FALSE,"제목"}</definedName>
    <definedName function="false" hidden="true" name="_KHM888" vbProcedure="false">{#N/A,#N/A,FALSE,"제목"}</definedName>
    <definedName function="false" hidden="true" name="_KK2" vbProcedure="false">#REF!</definedName>
    <definedName function="false" hidden="true" name="_KK3" vbProcedure="false">#REF!</definedName>
    <definedName function="false" hidden="true" name="_MatMult_A" vbProcedure="false">#REF!</definedName>
    <definedName function="false" hidden="true" name="_MatMult_AxB" vbProcedure="false">#REF!</definedName>
    <definedName function="false" hidden="true" name="_MatMult_B" vbProcedure="false">#REF!</definedName>
    <definedName function="false" hidden="true" name="_Order1" vbProcedure="false">0</definedName>
    <definedName function="false" hidden="true" name="_Order2" vbProcedure="false">0</definedName>
    <definedName function="false" hidden="true" name="_Parse_In" vbProcedure="false">#REF!</definedName>
    <definedName function="false" hidden="false" name="_px1" vbProcedure="false">#REF!</definedName>
    <definedName function="false" hidden="false" name="_px2" vbProcedure="false">#REF!</definedName>
    <definedName function="false" hidden="true" name="_Regression_Int" vbProcedure="false">1</definedName>
    <definedName function="false" hidden="true" name="_Regression_Out" vbProcedure="false">#REF!</definedName>
    <definedName function="false" hidden="true" name="_Regression_X" vbProcedure="false">#REF!</definedName>
    <definedName function="false" hidden="true" name="_Regression_Y" vbProcedure="false">#REF!</definedName>
    <definedName function="false" hidden="false" name="_ST1" vbProcedure="false">#N/A</definedName>
    <definedName function="false" hidden="false" name="_stp1" vbProcedure="false">#REF!</definedName>
    <definedName function="false" hidden="false" name="_stp10" vbProcedure="false">#REF!</definedName>
    <definedName function="false" hidden="false" name="_stp11" vbProcedure="false">#REF!</definedName>
    <definedName function="false" hidden="false" name="_stp12" vbProcedure="false">#REF!</definedName>
    <definedName function="false" hidden="false" name="_stp13" vbProcedure="false">#REF!</definedName>
    <definedName function="false" hidden="false" name="_stp14" vbProcedure="false">#REF!</definedName>
    <definedName function="false" hidden="false" name="_stp15" vbProcedure="false">#REF!</definedName>
    <definedName function="false" hidden="false" name="_stp16" vbProcedure="false">#REF!</definedName>
    <definedName function="false" hidden="false" name="_stp17" vbProcedure="false">#REF!</definedName>
    <definedName function="false" hidden="false" name="_stp18" vbProcedure="false">#REF!</definedName>
    <definedName function="false" hidden="false" name="_stp19" vbProcedure="false">#REF!</definedName>
    <definedName function="false" hidden="false" name="_stp2" vbProcedure="false">#REF!</definedName>
    <definedName function="false" hidden="false" name="_stp20" vbProcedure="false">#REF!</definedName>
    <definedName function="false" hidden="false" name="_stp21" vbProcedure="false">#REF!</definedName>
    <definedName function="false" hidden="false" name="_stp22" vbProcedure="false">#REF!</definedName>
    <definedName function="false" hidden="false" name="_stp23" vbProcedure="false">#REF!</definedName>
    <definedName function="false" hidden="false" name="_stp24" vbProcedure="false">#REF!</definedName>
    <definedName function="false" hidden="false" name="_stp25" vbProcedure="false">#REF!</definedName>
    <definedName function="false" hidden="false" name="_stp26" vbProcedure="false">#REF!</definedName>
    <definedName function="false" hidden="false" name="_stp27" vbProcedure="false">#REF!</definedName>
    <definedName function="false" hidden="false" name="_stp28" vbProcedure="false">#REF!</definedName>
    <definedName function="false" hidden="false" name="_stp29" vbProcedure="false">#REF!</definedName>
    <definedName function="false" hidden="false" name="_stp3" vbProcedure="false">#REF!</definedName>
    <definedName function="false" hidden="false" name="_stp30" vbProcedure="false">#REF!</definedName>
    <definedName function="false" hidden="false" name="_stp31" vbProcedure="false">#REF!</definedName>
    <definedName function="false" hidden="false" name="_stp32" vbProcedure="false">#REF!</definedName>
    <definedName function="false" hidden="false" name="_stp33" vbProcedure="false">#REF!</definedName>
    <definedName function="false" hidden="false" name="_stp34" vbProcedure="false">#REF!</definedName>
    <definedName function="false" hidden="false" name="_stp35" vbProcedure="false">#REF!</definedName>
    <definedName function="false" hidden="false" name="_stp36" vbProcedure="false">#REF!</definedName>
    <definedName function="false" hidden="false" name="_stp37" vbProcedure="false">#REF!</definedName>
    <definedName function="false" hidden="false" name="_stp38" vbProcedure="false">#REF!</definedName>
    <definedName function="false" hidden="false" name="_stp39" vbProcedure="false">#REF!</definedName>
    <definedName function="false" hidden="false" name="_stp4" vbProcedure="false">#REF!</definedName>
    <definedName function="false" hidden="false" name="_stp40" vbProcedure="false">#REF!</definedName>
    <definedName function="false" hidden="false" name="_stp41" vbProcedure="false">#REF!</definedName>
    <definedName function="false" hidden="false" name="_stp42" vbProcedure="false">#REF!</definedName>
    <definedName function="false" hidden="false" name="_stp43" vbProcedure="false">#REF!</definedName>
    <definedName function="false" hidden="false" name="_stp44" vbProcedure="false">#REF!</definedName>
    <definedName function="false" hidden="false" name="_stp45" vbProcedure="false">#REF!</definedName>
    <definedName function="false" hidden="false" name="_stp46" vbProcedure="false">#REF!</definedName>
    <definedName function="false" hidden="false" name="_stp47" vbProcedure="false">#REF!</definedName>
    <definedName function="false" hidden="false" name="_stp48" vbProcedure="false">#REF!</definedName>
    <definedName function="false" hidden="false" name="_stp49" vbProcedure="false">#REF!</definedName>
    <definedName function="false" hidden="false" name="_stp5" vbProcedure="false">#REF!</definedName>
    <definedName function="false" hidden="false" name="_stp50" vbProcedure="false">#REF!</definedName>
    <definedName function="false" hidden="false" name="_stp51" vbProcedure="false">#REF!</definedName>
    <definedName function="false" hidden="false" name="_stp52" vbProcedure="false">#REF!</definedName>
    <definedName function="false" hidden="false" name="_stp53" vbProcedure="false">#REF!</definedName>
    <definedName function="false" hidden="false" name="_stp54" vbProcedure="false">#REF!</definedName>
    <definedName function="false" hidden="false" name="_stp55" vbProcedure="false">#REF!</definedName>
    <definedName function="false" hidden="false" name="_stp56" vbProcedure="false">#REF!</definedName>
    <definedName function="false" hidden="false" name="_stp57" vbProcedure="false">#REF!</definedName>
    <definedName function="false" hidden="false" name="_stp58" vbProcedure="false">#REF!</definedName>
    <definedName function="false" hidden="false" name="_stp59" vbProcedure="false">#REF!</definedName>
    <definedName function="false" hidden="false" name="_stp6" vbProcedure="false">#REF!</definedName>
    <definedName function="false" hidden="false" name="_stp60" vbProcedure="false">#REF!</definedName>
    <definedName function="false" hidden="false" name="_stp61" vbProcedure="false">#REF!</definedName>
    <definedName function="false" hidden="false" name="_stp62" vbProcedure="false">#REF!</definedName>
    <definedName function="false" hidden="false" name="_stp63" vbProcedure="false">#REF!</definedName>
    <definedName function="false" hidden="false" name="_stp64" vbProcedure="false">#REF!</definedName>
    <definedName function="false" hidden="false" name="_stp65" vbProcedure="false">#REF!</definedName>
    <definedName function="false" hidden="false" name="_stp66" vbProcedure="false">#REF!</definedName>
    <definedName function="false" hidden="false" name="_stp67" vbProcedure="false">#REF!</definedName>
    <definedName function="false" hidden="false" name="_stp68" vbProcedure="false">#REF!</definedName>
    <definedName function="false" hidden="false" name="_stp69" vbProcedure="false">#REF!</definedName>
    <definedName function="false" hidden="false" name="_stp7" vbProcedure="false">#REF!</definedName>
    <definedName function="false" hidden="false" name="_stp70" vbProcedure="false">#REF!</definedName>
    <definedName function="false" hidden="false" name="_stp71" vbProcedure="false">#REF!</definedName>
    <definedName function="false" hidden="false" name="_stp72" vbProcedure="false">#REF!</definedName>
    <definedName function="false" hidden="false" name="_stp73" vbProcedure="false">#REF!</definedName>
    <definedName function="false" hidden="false" name="_stp74" vbProcedure="false">#REF!</definedName>
    <definedName function="false" hidden="false" name="_stp75" vbProcedure="false">#REF!</definedName>
    <definedName function="false" hidden="false" name="_stp76" vbProcedure="false">#REF!</definedName>
    <definedName function="false" hidden="false" name="_stp77" vbProcedure="false">#REF!</definedName>
    <definedName function="false" hidden="false" name="_stp78" vbProcedure="false">#REF!</definedName>
    <definedName function="false" hidden="false" name="_stp79" vbProcedure="false">#REF!</definedName>
    <definedName function="false" hidden="false" name="_stp8" vbProcedure="false">#REF!</definedName>
    <definedName function="false" hidden="false" name="_stp80" vbProcedure="false">#REF!</definedName>
    <definedName function="false" hidden="false" name="_stp81" vbProcedure="false">#REF!</definedName>
    <definedName function="false" hidden="false" name="_stp82" vbProcedure="false">#REF!</definedName>
    <definedName function="false" hidden="false" name="_stp83" vbProcedure="false">#REF!</definedName>
    <definedName function="false" hidden="false" name="_stp84" vbProcedure="false">#REF!</definedName>
    <definedName function="false" hidden="false" name="_stp85" vbProcedure="false">#REF!</definedName>
    <definedName function="false" hidden="false" name="_stp86" vbProcedure="false">#REF!</definedName>
    <definedName function="false" hidden="false" name="_stp87" vbProcedure="false">#REF!</definedName>
    <definedName function="false" hidden="false" name="_stp88" vbProcedure="false">#REF!</definedName>
    <definedName function="false" hidden="false" name="_stp89" vbProcedure="false">#REF!</definedName>
    <definedName function="false" hidden="false" name="_stp9" vbProcedure="false">#REF!</definedName>
    <definedName function="false" hidden="false" name="_stp90" vbProcedure="false">#REF!</definedName>
    <definedName function="false" hidden="false" name="_stp91" vbProcedure="false">#REF!</definedName>
    <definedName function="false" hidden="false" name="_stp92" vbProcedure="false">#REF!</definedName>
    <definedName function="false" hidden="false" name="_stp93" vbProcedure="false">#REF!</definedName>
    <definedName function="false" hidden="false" name="_stp94" vbProcedure="false">#REF!</definedName>
    <definedName function="false" hidden="false" name="_stp95" vbProcedure="false">#REF!</definedName>
    <definedName function="false" hidden="false" name="_stp96" vbProcedure="false">#REF!</definedName>
    <definedName function="false" hidden="false" name="_stp97" vbProcedure="false">#REF!</definedName>
    <definedName function="false" hidden="false" name="_stp98" vbProcedure="false">#REF!</definedName>
    <definedName function="false" hidden="false" name="_stp99" vbProcedure="false">#REF!</definedName>
    <definedName function="false" hidden="true" name="_Table1_In1" vbProcedure="false">#REF!</definedName>
    <definedName function="false" hidden="true" name="_Table1_Out" vbProcedure="false">#REF!</definedName>
    <definedName function="false" hidden="true" name="_woogi" vbProcedure="false">#REF!</definedName>
    <definedName function="false" hidden="true" name="_woogi2" vbProcedure="false">#REF!</definedName>
    <definedName function="false" hidden="true" name="_woogi24" vbProcedure="false">#REF!</definedName>
    <definedName function="false" hidden="true" name="_woogi3" vbProcedure="false">#REF!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Recorder" vbProcedure="false">#REF!</definedName>
    <definedName function="false" hidden="false" name="_zz1" vbProcedure="false">#REF!</definedName>
    <definedName function="false" hidden="false" name="_\D" vbProcedure="false">#REF!</definedName>
    <definedName function="false" hidden="false" name="_\X" vbProcedure="false">#REF!</definedName>
    <definedName function="false" hidden="true" name="__123Graph_A" vbProcedure="false">#REF!</definedName>
    <definedName function="false" hidden="true" name="__ECS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__IntlFixup" vbProcedure="false">TRUE()</definedName>
    <definedName function="false" hidden="true" name="__KD2" vbProcedure="false">#REF!</definedName>
    <definedName function="false" hidden="true" name="__KD3" vbProcedure="false">#REF!</definedName>
    <definedName function="false" hidden="true" name="__Key11" vbProcedure="false">#REF!</definedName>
    <definedName function="false" hidden="true" name="__key2" vbProcedure="false">#REF!</definedName>
    <definedName function="false" hidden="true" name="__KK2" vbProcedure="false">#REF!</definedName>
    <definedName function="false" hidden="true" name="__KK3" vbProcedure="false">#REF!</definedName>
    <definedName function="false" hidden="false" name="_건축목공" vbProcedure="false">#REF!</definedName>
    <definedName function="false" hidden="true" name="_재ㅐ햐" vbProcedure="false">#REF!</definedName>
    <definedName function="false" hidden="false" name="ㄱ" vbProcedure="false">#REF!</definedName>
    <definedName function="false" hidden="true" name="ㄱ3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ㄱㄱ" vbProcedure="false">{#N/A,#N/A,FALSE,"명세표"}</definedName>
    <definedName function="false" hidden="true" name="ㄱㄽㅎ" vbProcedure="false">{#N/A,#N/A,FALSE,"전력간선"}</definedName>
    <definedName function="false" hidden="true" name="ㄱㅈㅎ" vbProcedure="false">#REF!</definedName>
    <definedName function="false" hidden="true" name="ㄳㄳㄳㄳ" vbProcedure="false">{"'용역비'!$A$4:$C$8"}</definedName>
    <definedName function="false" hidden="false" name="ㄴ" vbProcedure="false">#REF!</definedName>
    <definedName function="false" hidden="true" name="ㄴㄱㄹ" vbProcedure="false">#REF!</definedName>
    <definedName function="false" hidden="false" name="ㄴㄴ" vbProcedure="false">#REF!</definedName>
    <definedName function="false" hidden="true" name="ㄴㄴㄴ" vbProcedure="false">#REF!</definedName>
    <definedName function="false" hidden="true" name="ㄴㄴㄴㄴ" vbProcedure="false">#REF!</definedName>
    <definedName function="false" hidden="true" name="ㄴㄴㄴㄴㄴ" vbProcedure="false">#REF!</definedName>
    <definedName function="false" hidden="true" name="ㄴㄴㄴㄴㄴㄴ" vbProcedure="false">{#N/A,#N/A,FALSE,"CCTV"}</definedName>
    <definedName function="false" hidden="true" name="ㄴㄹ" vbProcedure="false">#REF!</definedName>
    <definedName function="false" hidden="true" name="ㄴㄹㄴㅁㅎㅇㄹ" vbProcedure="false">{#N/A,"수불부",FALSE,"사급자재수불서";#N/A,"수불부",FALSE,"사급자재수불서"}</definedName>
    <definedName function="false" hidden="true" name="ㄴㅀ" vbProcedure="false">#REF!</definedName>
    <definedName function="false" hidden="true" name="ㄴㅁ" vbProcedure="false">#REF!</definedName>
    <definedName function="false" hidden="true" name="ㄴㅁㄴㅇㄹ" vbProcedure="false">#REF!</definedName>
    <definedName function="false" hidden="true" name="ㄴㅁㄹㅈㄹ" vbProcedure="false">#REF!</definedName>
    <definedName function="false" hidden="true" name="ㄴㅁㄻㄴㅇㄹㅇㄴㄹ" vbProcedure="false">{#N/A,"수불부",FALSE,"사급자재수불서";#N/A,"수불부",FALSE,"사급자재수불서"}</definedName>
    <definedName function="false" hidden="false" name="ㄴㅇ" vbProcedure="false">dlog_show</definedName>
    <definedName function="false" hidden="true" name="ㄴㅇㄹㄴ" vbProcedure="false">{#N/A,"수불부",FALSE,"사급자재수불서";#N/A,"수불부",FALSE,"사급자재수불서"}</definedName>
    <definedName function="false" hidden="true" name="ㄴㅇㄹㄴㄹ" vbProcedure="false">{"'Sheet1'!$D$19","'Sheet1'!$B$22:$E$22"}</definedName>
    <definedName function="false" hidden="true" name="ㄴㅇㄹㄴㅁㅇㄹㄴㅇ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ㄴㅇㄹㄷ" vbProcedure="false">#REF!</definedName>
    <definedName function="false" hidden="true" name="ㄴㅇㄻ" vbProcedure="false">#REF!</definedName>
    <definedName function="false" hidden="false" name="ㄵㄷ" vbProcedure="false">dlog_show</definedName>
    <definedName function="false" hidden="false" name="ㄷ" vbProcedure="false">#REF!</definedName>
    <definedName function="false" hidden="true" name="ㄷㄷ" vbProcedure="false">#REF!</definedName>
    <definedName function="false" hidden="true" name="ㄷㄷㄷㄷ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ㄷㄹ1" vbProcedure="false">#REF!</definedName>
    <definedName function="false" hidden="true" name="ㄷㅎㄹㅇ" vbProcedure="false">#REF!</definedName>
    <definedName function="false" hidden="false" name="ㄹ" vbProcedure="false">#REF!</definedName>
    <definedName function="false" hidden="true" name="ㄹㄴ" vbProcedure="false">#REF!</definedName>
    <definedName function="false" hidden="true" name="ㄹㄴㅁㄹㄴ" vbProcedure="false">{#N/A,"수불부",FALSE,"사급자재수불서";#N/A,"수불부",FALSE,"사급자재수불서"}</definedName>
    <definedName function="false" hidden="true" name="ㄹㄴㅁㄹㅇㄴ" vbProcedure="false">{"'Sheet1'!$D$19","'Sheet1'!$B$22:$E$22"}</definedName>
    <definedName function="false" hidden="true" name="ㄹㄹㄹ" vbProcedure="false">#REF!</definedName>
    <definedName function="false" hidden="true" name="ㄹㄹㅇㄴ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ㄹㄹㅏ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ㄹㅇ" vbProcedure="false">{#N/A,#N/A,TRUE,"총괄"}</definedName>
    <definedName function="false" hidden="true" name="ㄹㅇ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ㄹㅇㄴㄹ" vbProcedure="false">{#N/A,"수불부",FALSE,"사급자재수불서";#N/A,"수불부",FALSE,"사급자재수불서"}</definedName>
    <definedName function="false" hidden="false" name="ㄹㅇㄴㄹㅇㄹㄴㄹㅇㄹㅇㄹㅇㄴ" vbProcedure="false">blankmacro1</definedName>
    <definedName function="false" hidden="true" name="ㄹㅇㄹㅇㄴ" vbProcedure="false">{#N/A,"수불부",FALSE,"사급자재수불서";#N/A,"수불부",FALSE,"사급자재수불서"}</definedName>
    <definedName function="false" hidden="true" name="ㄹㅇㅌㅇㄴㄱㄷ" vbProcedure="false">{#N/A,#N/A,FALSE,"포장2"}</definedName>
    <definedName function="false" hidden="true" name="ㄹㅇㅎ" vbProcedure="false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function="false" hidden="true" name="ㄹ어미ㅏㄹ" vbProcedure="false">{"'Sheet1'!$D$19","'Sheet1'!$B$22:$E$22"}</definedName>
    <definedName function="false" hidden="true" name="ㄹ호" vbProcedure="false">#REF!</definedName>
    <definedName function="false" hidden="true" name="ㅀㅀ" vbProcedure="false">{"'Firr(선)'!$AS$1:$AY$62","'Firr(사)'!$AS$1:$AY$62","'Firr(회)'!$AS$1:$AY$62","'Firr(선)'!$L$1:$V$62","'Firr(사)'!$L$1:$V$62","'Firr(회)'!$L$1:$V$62"}</definedName>
    <definedName function="false" hidden="true" name="ㅀ허" vbProcedure="false">{#N/A,#N/A,FALSE,"CCTV"}</definedName>
    <definedName function="false" hidden="false" name="ㅁ" vbProcedure="false">#REF!</definedName>
    <definedName function="false" hidden="false" name="ㅁ1" vbProcedure="false">#REF!</definedName>
    <definedName function="false" hidden="false" name="ㅁ100" vbProcedure="false">#REF!</definedName>
    <definedName function="false" hidden="false" name="ㅁ1000" vbProcedure="false">#REF!</definedName>
    <definedName function="false" hidden="false" name="ㅁ1700" vbProcedure="false">#REF!</definedName>
    <definedName function="false" hidden="false" name="ㅁ1800" vbProcedure="false">#REF!</definedName>
    <definedName function="false" hidden="false" name="ㅁ1882" vbProcedure="false">#REF!</definedName>
    <definedName function="false" hidden="false" name="ㅁ191" vbProcedure="false">#REF!</definedName>
    <definedName function="false" hidden="false" name="ㅁ203" vbProcedure="false">#REF!</definedName>
    <definedName function="false" hidden="false" name="ㅁ2200" vbProcedure="false">#REF!</definedName>
    <definedName function="false" hidden="false" name="ㅁ2400" vbProcedure="false">#REF!</definedName>
    <definedName function="false" hidden="false" name="ㅁ2423" vbProcedure="false">#REF!</definedName>
    <definedName function="false" hidden="false" name="ㅁ331" vbProcedure="false">#REF!</definedName>
    <definedName function="false" hidden="false" name="ㅁ426" vbProcedure="false">#REF!</definedName>
    <definedName function="false" hidden="false" name="ㅁ500" vbProcedure="false">#REF!</definedName>
    <definedName function="false" hidden="false" name="ㅁ624" vbProcedure="false">#REF!</definedName>
    <definedName function="false" hidden="false" name="ㅁ786" vbProcedure="false">#REF!</definedName>
    <definedName function="false" hidden="true" name="ㅁㄴㄴ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ㅁㄴ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ㅁㄴㅇㄹㄴㄹ" vbProcedure="false">{#N/A,"수불부",FALSE,"사급자재수불서";#N/A,"수불부",FALSE,"사급자재수불서"}</definedName>
    <definedName function="false" hidden="true" name="ㅁㄴㅇㄻㄴㅇㄹㄴ" vbProcedure="false">#REF!</definedName>
    <definedName function="false" hidden="true" name="ㅁㄴㅇㄻㄴㅇㄻㄴㄹ" vbProcedure="false">{#N/A,#N/A,FALSE,"명세표"}</definedName>
    <definedName function="false" hidden="true" name="ㅁㄴㅇㄻㄹ" vbProcedure="false">{#N/A,"수불부",FALSE,"사급자재수불서";#N/A,"수불부",FALSE,"사급자재수불서"}</definedName>
    <definedName function="false" hidden="true" name="ㅁㄴㅇㅁㄴㅇ" vbProcedure="false">#REF!</definedName>
    <definedName function="false" hidden="true" name="ㅁㄴㅇ류" vbProcedure="false">#REF!</definedName>
    <definedName function="false" hidden="true" name="ㅁㄴㅊㅍㅁㅌㅊ펌ㄴㅇㄹ" vbProcedure="false">#REF!</definedName>
    <definedName function="false" hidden="true" name="ㅁㄹ" vbProcedure="false">{#N/A,#N/A,TRUE,"총괄"}</definedName>
    <definedName function="false" hidden="true" name="ㅁㄹㅇㄴㅇㄹ" vbProcedure="false">{#N/A,"수불부",FALSE,"사급자재수불서";#N/A,"수불부",FALSE,"사급자재수불서"}</definedName>
    <definedName function="false" hidden="true" name="ㅁㄻㄴㅇㄹㄴㅇㄹㄴ" vbProcedure="false">#REF!</definedName>
    <definedName function="false" hidden="true" name="ㅁㄻㅇㄹㄴ" vbProcedure="false">{#N/A,"수불부",FALSE,"사급자재수불서";#N/A,"수불부",FALSE,"사급자재수불서"}</definedName>
    <definedName function="false" hidden="false" name="ㅁㅁ" vbProcedure="false">#REF!</definedName>
    <definedName function="false" hidden="true" name="ㅁㅁㅁ" vbProcedure="false">#REF!</definedName>
    <definedName function="false" hidden="true" name="ㅁㅁㅁㅁ" vbProcedure="false">{#N/A,#N/A,FALSE,"운반시간"}</definedName>
    <definedName function="false" hidden="true" name="ㅁㅁㅁㅁㅁㅁ" vbProcedure="false">#REF!</definedName>
    <definedName function="false" hidden="true" name="ㅁㅁㅁㅁㅁㅁㅁ" vbProcedure="false">{#N/A,#N/A,FALSE,"Sheet1"}</definedName>
    <definedName function="false" hidden="true" name="ㅁㅅㅅㅁㄱㅈ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ㅁㅇ" vbProcedure="false">#REF!</definedName>
    <definedName function="false" hidden="true" name="ㅁㅇㄴㅁ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ㅁㅇㄹㄴㄻ" vbProcedure="false">{"'Sheet1'!$D$19","'Sheet1'!$B$22:$E$22"}</definedName>
    <definedName function="false" hidden="true" name="ㅁㅇㄹㄴㅁㅇㄹㄴ" vbProcedure="false">{#N/A,"수불부",FALSE,"사급자재수불서";#N/A,"수불부",FALSE,"사급자재수불서"}</definedName>
    <definedName function="false" hidden="true" name="ㅁㅇㄹㄴㅇㄹㄴㅇㄹ" vbProcedure="false">{#N/A,"수불부",FALSE,"사급자재수불서";#N/A,"수불부",FALSE,"사급자재수불서"}</definedName>
    <definedName function="false" hidden="true" name="ㅁㅈㄴㅇ" vbProcedure="false">{#N/A,#N/A,FALSE,"전력간선"}</definedName>
    <definedName function="false" hidden="true" name="ㅁㅈㄷㅅㅂㄱ흎ㅊ퓨" vbProcedure="false">#REF!</definedName>
    <definedName function="false" hidden="true" name="ㅁㅊㅇㅍㅁㄴㅇㄻㄴㅇㄹ" vbProcedure="false">#REF!</definedName>
    <definedName function="false" hidden="true" name="ㅁ인ㅍㅁ닟ㅍㅁㄴㅇㄹ" vbProcedure="false">#REF!</definedName>
    <definedName function="false" hidden="true" name="ㅁ읾ㄴㅇㄻ" vbProcedure="false">#REF!</definedName>
    <definedName function="false" hidden="false" name="ㅂ" vbProcedure="false">#REF!</definedName>
    <definedName function="false" hidden="false" name="ㅂㅂ" vbProcedure="false">#REF!</definedName>
    <definedName function="false" hidden="true" name="ㅂㅂㅂㅂ" vbProcedure="false">{#N/A,#N/A,FALSE,"명세표"}</definedName>
    <definedName function="false" hidden="false" name="ㅂㅂㅂㅂㅂ" vbProcedure="false">blankmacro1</definedName>
    <definedName function="false" hidden="true" name="ㅂㅂㅂㅂㅂㅂㅂ" vbProcedure="false">{#N/A,#N/A,FALSE,"명세표"}</definedName>
    <definedName function="false" hidden="true" name="ㅂㅈ" vbProcedure="false">#REF!</definedName>
    <definedName function="false" hidden="true" name="ㅂㅈㄱ" vbProcedure="false">{#N/A,#N/A,FALSE,"부대1"}</definedName>
    <definedName function="false" hidden="true" name="ㅅ" vbProcedure="false">#REF!</definedName>
    <definedName function="false" hidden="true" name="ㅅㅅ" vbProcedure="false">#REF!</definedName>
    <definedName function="false" hidden="true" name="ㅅㅅ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ㅇ" vbProcedure="false">{#N/A,#N/A,TRUE,"총괄"}</definedName>
    <definedName function="false" hidden="false" name="ㅇ01" vbProcedure="false">#REF!</definedName>
    <definedName function="false" hidden="false" name="ㅇㄱ1" vbProcedure="false">#REF!</definedName>
    <definedName function="false" hidden="true" name="ㅇㄴㄻㅎㅈㄷㅈㄷㄴ" vbProcedure="false">{"'Sheet1'!$D$19","'Sheet1'!$B$22:$E$22"}</definedName>
    <definedName function="false" hidden="true" name="ㅇㄴㅁㄹㅇㄻㅇㄹㄴㅇ" vbProcedure="false">{#N/A,"수불부",FALSE,"사급자재수불서";#N/A,"수불부",FALSE,"사급자재수불서"}</definedName>
    <definedName function="false" hidden="false" name="ㅇㄴㅁㅇㄴ" vbProcedure="false">blankmacro1</definedName>
    <definedName function="false" hidden="false" name="ㅇㄴㅇㄴㅇ" vbProcedure="false">blankmacro1</definedName>
    <definedName function="false" hidden="true" name="ㅇㄶㄹㄷㄱㄹㅈ" vbProcedure="false">{#N/A,"수불부",FALSE,"사급자재수불서";#N/A,"수불부",FALSE,"사급자재수불서"}</definedName>
    <definedName function="false" hidden="true" name="ㅇㄶㅁㄴㄱㄷ" vbProcedure="false">{#N/A,"수불부",FALSE,"사급자재수불서";#N/A,"수불부",FALSE,"사급자재수불서"}</definedName>
    <definedName function="false" hidden="true" name="ㅇㄶㅁㄷㄱㄹㅈ" vbProcedure="false">{#N/A,"수불부",FALSE,"사급자재수불서";#N/A,"수불부",FALSE,"사급자재수불서"}</definedName>
    <definedName function="false" hidden="true" name="ㅇㄹ" vbProcedure="false">#REF!</definedName>
    <definedName function="false" hidden="true" name="ㅇㄹㄴ" vbProcedure="false">{#N/A,"수불부",FALSE,"사급자재수불서";#N/A,"수불부",FALSE,"사급자재수불서"}</definedName>
    <definedName function="false" hidden="true" name="ㅇㄹㄴㅁㅎㅁㄴ" vbProcedure="false">{#N/A,"수불부",FALSE,"사급자재수불서";#N/A,"수불부",FALSE,"사급자재수불서"}</definedName>
    <definedName function="false" hidden="true" name="ㅇㄹㄹ" vbProcedure="false">#REF!</definedName>
    <definedName function="false" hidden="true" name="ㅇㄹㅀ" vbProcedure="false">#REF!</definedName>
    <definedName function="false" hidden="true" name="ㅇㄹㅇㄹ" vbProcedure="false">#REF!</definedName>
    <definedName function="false" hidden="true" name="ㅇㄻㄴㅀ" vbProcedure="false">{#N/A,"수불부",FALSE,"사급자재수불서";#N/A,"수불부",FALSE,"사급자재수불서"}</definedName>
    <definedName function="false" hidden="true" name="ㅇㄻㄴㅇㄻㄴㅇㄹ" vbProcedure="false">#REF!</definedName>
    <definedName function="false" hidden="true" name="ㅇㅁㄶㄴㅇㅁㅀㅇㄴ" vbProcedure="false">{#N/A,"수불부",FALSE,"사급자재수불서";#N/A,"수불부",FALSE,"사급자재수불서"}</definedName>
    <definedName function="false" hidden="true" name="ㅇㅇㄹ" vbProcedure="false">#REF!</definedName>
    <definedName function="false" hidden="true" name="ㅇㅇㅇ" vbProcedure="false">#REF!</definedName>
    <definedName function="false" hidden="true" name="ㅇㅈㄷㅄㅂㅈㄷㄱ" vbProcedure="false">#REF!</definedName>
    <definedName function="false" hidden="true" name="ㅇㅎㅁㅇㅎㄴㅇㅁ" vbProcedure="false">{#N/A,"수불부",FALSE,"사급자재수불서";#N/A,"수불부",FALSE,"사급자재수불서"}</definedName>
    <definedName function="false" hidden="true" name="ㅇㅎ허" vbProcedure="false">{"'공사부문'!$A$6:$A$32"}</definedName>
    <definedName function="false" hidden="true" name="ㅇ라ㅓㅏㅗ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ㅈ" vbProcedure="false">{#N/A,#N/A,FALSE,"월공사비집계표양식 (7)";#N/A,#N/A,FALSE,"월공사비집계표양식 (7)"}</definedName>
    <definedName function="false" hidden="true" name="ㅈㄱ" vbProcedure="false">{#N/A,#N/A,FALSE,"조골재"}</definedName>
    <definedName function="false" hidden="true" name="ㅈㄷㄱㄷㄱㄷ" vbProcedure="false">{"'용역비'!$A$4:$C$8"}</definedName>
    <definedName function="false" hidden="true" name="ㅈㄷㄻㅇㄹ" vbProcedure="false">#REF!</definedName>
    <definedName function="false" hidden="true" name="ㅈㄷㄻㅈ" vbProcedure="false">#REF!</definedName>
    <definedName function="false" hidden="true" name="ㅈㅈㅈㅈ" vbProcedure="false">{#N/A,#N/A,FALSE,"명세표"}</definedName>
    <definedName function="false" hidden="true" name="ㅊ" vbProcedure="false">{#N/A,#N/A,TRUE,"총괄"}</definedName>
    <definedName function="false" hidden="false" name="ㅊ3030" vbProcedure="false">#REF!</definedName>
    <definedName function="false" hidden="true" name="ㅊㅍ" vbProcedure="false">#REF!</definedName>
    <definedName function="false" hidden="false" name="ㅋ" vbProcedure="false">#REF!</definedName>
    <definedName function="false" hidden="true" name="ㅋㅁ" vbProcedure="false">{#N/A,#N/A,FALSE,"명세표"}</definedName>
    <definedName function="false" hidden="true" name="ㅋㅋ" vbProcedure="false">{#N/A,#N/A,FALSE,"명세표"}</definedName>
    <definedName function="false" hidden="true" name="ㅋㅋㅋ" vbProcedure="false">{#N/A,#N/A,FALSE,"단가표지"}</definedName>
    <definedName function="false" hidden="true" name="ㅌ" vbProcedure="false">{#N/A,#N/A,FALSE,"2~8번"}</definedName>
    <definedName function="false" hidden="false" name="ㅌㅌㅌㅌㅌㅌㅌ" vbProcedure="false">#REF!</definedName>
    <definedName function="false" hidden="true" name="ㅌㅍㅊㅇㅌㅎ" vbProcedure="false">{#N/A,#N/A,FALSE,"도급대비시행율";#N/A,#N/A,FALSE,"결의서";#N/A,#N/A,FALSE,"내역서";#N/A,#N/A,FALSE,"도급예상"}</definedName>
    <definedName function="false" hidden="true" name="ㅍ" vbProcedure="false">{#N/A,#N/A,FALSE,"2~8번"}</definedName>
    <definedName function="false" hidden="true" name="ㅍㄴㅇㄹ" vbProcedure="false">#REF!</definedName>
    <definedName function="false" hidden="true" name="ㅍㅍ" vbProcedure="false">{#N/A,#N/A,TRUE,"토적및재료집계";#N/A,#N/A,TRUE,"토적및재료집계";#N/A,#N/A,TRUE,"단위량"}</definedName>
    <definedName function="false" hidden="false" name="ㅎ" vbProcedure="false">#REF!</definedName>
    <definedName function="false" hidden="false" name="ㅎ1" vbProcedure="false">#REF!</definedName>
    <definedName function="false" hidden="false" name="ㅎ314" vbProcedure="false">#REF!</definedName>
    <definedName function="false" hidden="false" name="ㅎ384" vbProcedure="false">#REF!</definedName>
    <definedName function="false" hidden="true" name="ㅎ5" vbProcedure="false">{#N/A,#N/A,FALSE,"골재소요량";#N/A,#N/A,FALSE,"골재소요량"}</definedName>
    <definedName function="false" hidden="false" name="ㅎ662" vbProcedure="false">#REF!</definedName>
    <definedName function="false" hidden="true" name="ㅎㄴㅁㄹㅇㄹㄴ" vbProcedure="false">{#N/A,"수불부",FALSE,"사급자재수불서";#N/A,"수불부",FALSE,"사급자재수불서"}</definedName>
    <definedName function="false" hidden="false" name="ㅎㄹㄹ" vbProcedure="false">#REF!</definedName>
    <definedName function="false" hidden="true" name="ㅎㄹ오하ㅓ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ㅎㅎ" vbProcedure="false">#REF!</definedName>
    <definedName function="false" hidden="true" name="ㅎㅎㅎ" vbProcedure="false">#REF!</definedName>
    <definedName function="false" hidden="true" name="ㅎㅎㅎ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ㅎㅎㅎㅎ" vbProcedure="false">#REF!</definedName>
    <definedName function="false" hidden="false" name="ㅎㅎㅎㅎㅎㅎ" vbProcedure="false">#REF!</definedName>
    <definedName function="false" hidden="false" name="ㅎㅎㅎㅎㅎㅎㅎㅎㅎㅎㅎㅎㅎ" vbProcedure="false">#REF!</definedName>
    <definedName function="false" hidden="true" name="ㅏ" vbProcedure="false">{#N/A,#N/A,FALSE,"운반시간"}</definedName>
    <definedName function="false" hidden="true" name="ㅏㅏㅏ" vbProcedure="false">{#N/A,#N/A,FALSE,"명세표"}</definedName>
    <definedName function="false" hidden="true" name="ㅏㅏㅏ갸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ㅏㅏㅏ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ㅏㅏㅣ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ㅏㅓㅏ" vbProcedure="false">{#N/A,#N/A,FALSE,"물가변동 (2)";#N/A,#N/A,FALSE,"공사비";#N/A,#N/A,FALSE,"사급";#N/A,#N/A,FALSE,"도급집계";#N/A,#N/A,FALSE,"재료비";#N/A,#N/A,FALSE,"노무비";#N/A,#N/A,FALSE,"경비"}</definedName>
    <definedName function="false" hidden="true" name="ㅐ" vbProcedure="false">{#N/A,#N/A,FALSE,"이태원철근"}</definedName>
    <definedName function="false" hidden="true" name="ㅐㅐㅐ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ㅐㅑㅛ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ㅑ" vbProcedure="false">{#N/A,#N/A,FALSE,"조골재"}</definedName>
    <definedName function="false" hidden="true" name="ㅑㅑ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ㅓ" vbProcedure="false">{#N/A,#N/A,FALSE,"이태원철근"}</definedName>
    <definedName function="false" hidden="false" name="ㅓ1514" vbProcedure="false">#REF!</definedName>
    <definedName function="false" hidden="true" name="ㅓ7" vbProcedure="false">{#N/A,#N/A,FALSE,"단가표지"}</definedName>
    <definedName function="false" hidden="true" name="ㅓㅓ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ㅓㅓㅏ니ㅣ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ㅓㅓㅓ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ㅓㅗ" vbProcedure="false">{#N/A,"수불부",FALSE,"사급자재수불서";#N/A,"수불부",FALSE,"사급자재수불서"}</definedName>
    <definedName function="false" hidden="true" name="ㅓ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ㅔ" vbProcedure="false">{#N/A,#N/A,FALSE,"이태원철근"}</definedName>
    <definedName function="false" hidden="true" name="ㅔㅐ" vbProcedure="false">#REF!</definedName>
    <definedName function="false" hidden="true" name="ㅔㅐㅔ" vbProcedure="false">{#N/A,"수불부",FALSE,"사급자재수불서";#N/A,"수불부",FALSE,"사급자재수불서"}</definedName>
    <definedName function="false" hidden="false" name="ㅔ갸ㅜㅅ_샤싣ㄴ" vbProcedure="false">#REF!</definedName>
    <definedName function="false" hidden="false" name="ㅕ" vbProcedure="false">#REF!</definedName>
    <definedName function="false" hidden="true" name="ㅕㅑ" vbProcedure="false">#REF!</definedName>
    <definedName function="false" hidden="true" name="ㅕㅑㅐㅔ" vbProcedure="false">#REF!</definedName>
    <definedName function="false" hidden="true" name="ㅕ겨겨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ㅗ" vbProcedure="false">{#N/A,#N/A,FALSE,"이태원철근"}</definedName>
    <definedName function="false" hidden="true" name="ㅗㅎㅇㅁㄹㅇㅎ" vbProcedure="false">{#N/A,"수불부",FALSE,"사급자재수불서";#N/A,"수불부",FALSE,"사급자재수불서"}</definedName>
    <definedName function="false" hidden="false" name="ㅗㅓㅏ" vbProcedure="false">#REF!</definedName>
    <definedName function="false" hidden="true" name="ㅗㅗ" vbProcedure="false">{#N/A,#N/A,FALSE,"명세표"}</definedName>
    <definedName function="false" hidden="true" name="ㅗㅗㅗ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ㅗㅗㅗㅗ" vbProcedure="false">{#N/A,#N/A,FALSE,"지침";#N/A,#N/A,FALSE,"환경분석";#N/A,#N/A,FALSE,"Sheet16"}</definedName>
    <definedName function="false" hidden="true" name="ㅗ마ㅓ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ㅘㅗ허ㅎ" vbProcedure="false">#REF!</definedName>
    <definedName function="false" hidden="true" name="ㅛ" vbProcedure="false">{#N/A,#N/A,FALSE,"이태원철근"}</definedName>
    <definedName function="false" hidden="true" name="ㅛㅛㅛ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ㅜ" vbProcedure="false">{#N/A,#N/A,FALSE,"명세표"}</definedName>
    <definedName function="false" hidden="true" name="ㅠ" vbProcedure="false">{#N/A,#N/A,FALSE,"이태원철근"}</definedName>
    <definedName function="false" hidden="true" name="ㅠ뮤ㅐ" vbProcedure="false">#REF!</definedName>
    <definedName function="false" hidden="true" name="ㅡ" vbProcedure="false">{#N/A,#N/A,FALSE,"2~8번"}</definedName>
    <definedName function="false" hidden="true" name="ㅡㅡ" vbProcedure="false">{#N/A,#N/A,FALSE,"명세표"}</definedName>
    <definedName function="false" hidden="false" name="ㅣ894" vbProcedure="false">#REF!</definedName>
    <definedName function="false" hidden="true" name="ㅣㅏㅣㅏㅓㅣ" vbProcedure="false">{#N/A,#N/A,FALSE,"월공사비집계표양식 (7)";#N/A,#N/A,FALSE,"월공사비집계표양식 (7)"}</definedName>
    <definedName function="false" hidden="true" name="ㅣㅏ아ㅓ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ㅣㅑㅑ" vbProcedure="false">{#N/A,#N/A,FALSE,"단가표지"}</definedName>
    <definedName function="false" hidden="true" name="ㅣㅣㅣ노원문화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一般管理費" vbProcedure="false">#REF!</definedName>
    <definedName function="false" hidden="false" name="材料費" vbProcedure="false">#REF!</definedName>
    <definedName function="false" hidden="false" name="直接人件費" vbProcedure="false">#REF!</definedName>
    <definedName function="false" hidden="false" name="純工事原價" vbProcedure="false">#REF!</definedName>
    <definedName function="false" hidden="false" name="經費" vbProcedure="false">#REF!</definedName>
    <definedName function="false" hidden="false" name="總原價" vbProcedure="false">#REF!</definedName>
    <definedName function="false" hidden="false" name="附加價値稅" vbProcedure="false">#REF!</definedName>
    <definedName function="false" hidden="false" name="가" vbProcedure="false">#REF!</definedName>
    <definedName function="false" hidden="false" name="가격" vbProcedure="false">#REF!</definedName>
    <definedName function="false" hidden="false" name="가격범위" vbProcedure="false">#REF!</definedName>
    <definedName function="false" hidden="false" name="가노" vbProcedure="false">#REF!</definedName>
    <definedName function="false" hidden="true" name="가로내역서" vbProcedure="false">{#N/A,#N/A,FALSE,"이태원철근"}</definedName>
    <definedName function="false" hidden="false" name="가설" vbProcedure="false">#REF!</definedName>
    <definedName function="false" hidden="false" name="가시나무5노무" vbProcedure="false">#REF!</definedName>
    <definedName function="false" hidden="false" name="가시나무5재료" vbProcedure="false">#REF!</definedName>
    <definedName function="false" hidden="false" name="가시나무6노무" vbProcedure="false">#REF!</definedName>
    <definedName function="false" hidden="false" name="가시나무6재료" vbProcedure="false">#REF!</definedName>
    <definedName function="false" hidden="false" name="가시나무노무8" vbProcedure="false">#REF!</definedName>
    <definedName function="false" hidden="false" name="가시나무재료8" vbProcedure="false">#REF!</definedName>
    <definedName function="false" hidden="true" name="가옥" vbProcedure="false">{#N/A,#N/A,FALSE,"속도"}</definedName>
    <definedName function="false" hidden="true" name="간" vbProcedure="false">{#N/A,#N/A,FALSE,"명세표"}</definedName>
    <definedName function="false" hidden="false" name="간노" vbProcedure="false">#REF!</definedName>
    <definedName function="false" hidden="false" name="간접노무비" vbProcedure="false">#REF!</definedName>
    <definedName function="false" hidden="false" name="간접노무비요율" vbProcedure="false">#REF!</definedName>
    <definedName function="false" hidden="false" name="간접노무비표" vbProcedure="false">#REF!</definedName>
    <definedName function="false" hidden="true" name="간지" vbProcedure="false">{#N/A,#N/A,FALSE,"토공2"}</definedName>
    <definedName function="false" hidden="false" name="갈빌1호" vbProcedure="false">#REF!</definedName>
    <definedName function="false" hidden="false" name="갈빌2호" vbProcedure="false">#REF!</definedName>
    <definedName function="false" hidden="false" name="갈빌3호" vbProcedure="false">#REF!</definedName>
    <definedName function="false" hidden="false" name="감나무" vbProcedure="false">#REF!</definedName>
    <definedName function="false" hidden="true" name="감리상주" vbProcedure="false">{#N/A,#N/A,FALSE,"지침";#N/A,#N/A,FALSE,"환경분석";#N/A,#N/A,FALSE,"Sheet16"}</definedName>
    <definedName function="false" hidden="false" name="갑지" vbProcedure="false">blankmacro1</definedName>
    <definedName function="false" hidden="true" name="강동엽" vbProcedure="false">{#N/A,#N/A,FALSE,"월공사비집계표양식 (7)";#N/A,#N/A,FALSE,"월공사비집계표양식 (7)"}</definedName>
    <definedName function="false" hidden="true" name="강성일" vbProcedure="false">{#N/A,#N/A,FALSE,"월공사비집계표양식 (7)";#N/A,#N/A,FALSE,"월공사비집계표양식 (7)"}</definedName>
    <definedName function="false" hidden="false" name="강수지" vbProcedure="false">blankmacro1</definedName>
    <definedName function="false" hidden="true" name="강아지" vbProcedure="false">#REF!</definedName>
    <definedName function="false" hidden="true" name="강환" vbProcedure="false">{#N/A,#N/A,FALSE,"월공사비집계표양식 (7)";#N/A,#N/A,FALSE,"월공사비집계표양식 (7)"}</definedName>
    <definedName function="false" hidden="true" name="갖지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개거" vbProcedure="false">#REF!</definedName>
    <definedName function="false" hidden="false" name="개나리" vbProcedure="false">#REF!</definedName>
    <definedName function="false" hidden="false" name="개산분" vbProcedure="false">#REF!</definedName>
    <definedName function="false" hidden="true" name="개소별명세표" vbProcedure="false">{#N/A,#N/A,FALSE,"명세표"}</definedName>
    <definedName function="false" hidden="true" name="갸ㅕㅛ샤ㅛ" vbProcedure="false">{"'공사부문'!$A$6:$A$32"}</definedName>
    <definedName function="false" hidden="false" name="거래" vbProcedure="false">blankmacro1</definedName>
    <definedName function="false" hidden="false" name="건축내역" vbProcedure="false">blankmacro1</definedName>
    <definedName function="false" hidden="true" name="건축수량집계" vbProcedure="false">{#N/A,#N/A,FALSE,"월공사비집계표양식 (7)";#N/A,#N/A,FALSE,"월공사비집계표양식 (7)"}</definedName>
    <definedName function="false" hidden="false" name="견" vbProcedure="false">#REF!,#REF!</definedName>
    <definedName function="false" hidden="false" name="견적1" vbProcedure="false">dlog_show</definedName>
    <definedName function="false" hidden="true" name="견적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견적3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견적4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견적SHEET" vbProcedure="false">{#N/A,#N/A,FALSE,"CCTV"}</definedName>
    <definedName function="false" hidden="true" name="견적갑지1" vbProcedure="false">{#N/A,#N/A,FALSE,"부대1"}</definedName>
    <definedName function="false" hidden="false" name="견적서" vbProcedure="false">#REF!</definedName>
    <definedName function="false" hidden="false" name="견적서1" vbProcedure="false">#REF!</definedName>
    <definedName function="false" hidden="false" name="견적서2" vbProcedure="false">#REF!</definedName>
    <definedName function="false" hidden="false" name="견적서3" vbProcedure="false">#REF!</definedName>
    <definedName function="false" hidden="false" name="견적서4" vbProcedure="false">#REF!</definedName>
    <definedName function="false" hidden="false" name="견적서5" vbProcedure="false">#REF!</definedName>
    <definedName function="false" hidden="false" name="견적서6" vbProcedure="false">#REF!</definedName>
    <definedName function="false" hidden="true" name="견적조건" vbProcedure="false">{#N/A,#N/A,FALSE,"CCTV"}</definedName>
    <definedName function="false" hidden="true" name="견적조건8" vbProcedure="false">{#N/A,#N/A,FALSE,"CCTV"}</definedName>
    <definedName function="false" hidden="false" name="견적탱크" vbProcedure="false">#REF!</definedName>
    <definedName function="false" hidden="false" name="견적토목" vbProcedure="false">#REF!</definedName>
    <definedName function="false" hidden="true" name="경" vbProcedure="false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function="false" hidden="false" name="경_간단" vbProcedure="false">#REF!</definedName>
    <definedName function="false" hidden="false" name="경_강관비계12개월" vbProcedure="false">#REF!</definedName>
    <definedName function="false" hidden="false" name="경_강관비계3개월" vbProcedure="false">#REF!</definedName>
    <definedName function="false" hidden="false" name="경_강관비계6개월" vbProcedure="false">#REF!</definedName>
    <definedName function="false" hidden="false" name="경_거푸집1회" vbProcedure="false">#REF!</definedName>
    <definedName function="false" hidden="false" name="경_거푸집3회" vbProcedure="false">#REF!</definedName>
    <definedName function="false" hidden="false" name="경_거푸집4회" vbProcedure="false">#REF!</definedName>
    <definedName function="false" hidden="false" name="경_거푸집6회" vbProcedure="false">#REF!</definedName>
    <definedName function="false" hidden="false" name="경_모르터2" vbProcedure="false">#REF!</definedName>
    <definedName function="false" hidden="false" name="경_모르터3" vbProcedure="false">#REF!</definedName>
    <definedName function="false" hidden="false" name="경_무근40_08" vbProcedure="false">#REF!</definedName>
    <definedName function="false" hidden="false" name="경_무근40_12" vbProcedure="false">#REF!</definedName>
    <definedName function="false" hidden="false" name="경_문양거푸집" vbProcedure="false">#REF!</definedName>
    <definedName function="false" hidden="false" name="경_보통" vbProcedure="false">#REF!</definedName>
    <definedName function="false" hidden="false" name="경_복잡" vbProcedure="false">#REF!</definedName>
    <definedName function="false" hidden="false" name="경_소형25_12" vbProcedure="false">#REF!</definedName>
    <definedName function="false" hidden="false" name="경_소형40_08" vbProcedure="false">#REF!</definedName>
    <definedName function="false" hidden="false" name="경_소형40_12" vbProcedure="false">#REF!</definedName>
    <definedName function="false" hidden="false" name="경_아스콘기층" vbProcedure="false">#REF!</definedName>
    <definedName function="false" hidden="false" name="경_아스콘표층" vbProcedure="false">#REF!</definedName>
    <definedName function="false" hidden="false" name="경_철근25_12" vbProcedure="false">#REF!</definedName>
    <definedName function="false" hidden="false" name="경_철근40_08" vbProcedure="false">#REF!</definedName>
    <definedName function="false" hidden="false" name="경_철근40_12" vbProcedure="false">#REF!</definedName>
    <definedName function="false" hidden="false" name="경_콘크리트" vbProcedure="false">#REF!</definedName>
    <definedName function="false" hidden="false" name="경_택코팅" vbProcedure="false">#REF!</definedName>
    <definedName function="false" hidden="false" name="경_프라임코팅" vbProcedure="false">#REF!</definedName>
    <definedName function="false" hidden="false" name="경비" vbProcedure="false">#REF!</definedName>
    <definedName function="false" hidden="false" name="경비합" vbProcedure="false">#REF!</definedName>
    <definedName function="false" hidden="true" name="경수" vbProcedure="false">{#N/A,#N/A,FALSE,"도급대비시행율";#N/A,#N/A,FALSE,"결의서";#N/A,#N/A,FALSE,"내역서";#N/A,#N/A,FALSE,"도급예상"}</definedName>
    <definedName function="false" hidden="true" name="경수을지" vbProcedure="false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function="false" hidden="false" name="경순" vbProcedure="false">blankmacro1</definedName>
    <definedName function="false" hidden="false" name="계" vbProcedure="false">#REF!</definedName>
    <definedName function="false" hidden="false" name="계산" vbProcedure="false">#REF!</definedName>
    <definedName function="false" hidden="false" name="계수나무6노무" vbProcedure="false">#REF!</definedName>
    <definedName function="false" hidden="false" name="계수나무6재료" vbProcedure="false">#REF!</definedName>
    <definedName function="false" hidden="true" name="계전2" vbProcedure="false">#REF!</definedName>
    <definedName function="false" hidden="true" name="계측기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고기" vbProcedure="false">#REF!</definedName>
    <definedName function="false" hidden="false" name="고용" vbProcedure="false">#REF!</definedName>
    <definedName function="false" hidden="false" name="고용보험료" vbProcedure="false">#REF!</definedName>
    <definedName function="false" hidden="false" name="공" vbProcedure="false">blankmacro1</definedName>
    <definedName function="false" hidden="true" name="공5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공___종" vbProcedure="false">#REF!</definedName>
    <definedName function="false" hidden="true" name="공공도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공공도서1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공급가액" vbProcedure="false">#REF!</definedName>
    <definedName function="false" hidden="false" name="공기" vbProcedure="false">#REF!</definedName>
    <definedName function="false" hidden="true" name="공내역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공내역서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공사공정표" vbProcedure="false">{#N/A,#N/A,FALSE,"도급대비시행율";#N/A,#N/A,FALSE,"결의서";#N/A,#N/A,FALSE,"내역서";#N/A,#N/A,FALSE,"도급예상"}</definedName>
    <definedName function="false" hidden="false" name="공사명" vbProcedure="false">#REF!</definedName>
    <definedName function="false" hidden="true" name="공사비분석" vbProcedure="false">#REF!</definedName>
    <definedName function="false" hidden="true" name="공사시방서" vbProcedure="false">{#N/A,#N/A,FALSE,"명세표"}</definedName>
    <definedName function="false" hidden="true" name="공사시방서1" vbProcedure="false">{#N/A,#N/A,FALSE,"명세표"}</definedName>
    <definedName function="false" hidden="false" name="공사원가" vbProcedure="false">#REF!</definedName>
    <definedName function="false" hidden="true" name="공사원가계산서" vbProcedure="false">{#N/A,#N/A,TRUE,"토적및재료집계";#N/A,#N/A,TRUE,"토적및재료집계";#N/A,#N/A,TRUE,"단위량"}</definedName>
    <definedName function="false" hidden="false" name="공사원가명세서" vbProcedure="false">#REF!</definedName>
    <definedName function="false" hidden="false" name="공산" vbProcedure="false">#REF!</definedName>
    <definedName function="false" hidden="false" name="공산품" vbProcedure="false">#REF!</definedName>
    <definedName function="false" hidden="true" name="공원등기초" vbProcedure="false">{#N/A,#N/A,FALSE,"골재소요량";#N/A,#N/A,FALSE,"골재소요량"}</definedName>
    <definedName function="false" hidden="false" name="공정" vbProcedure="false">#REF!</definedName>
    <definedName function="false" hidden="true" name="공정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공정2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공정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공정수량" vbProcedure="false">#REF!</definedName>
    <definedName function="false" hidden="false" name="공정집계" vbProcedure="false">#REF!</definedName>
    <definedName function="false" hidden="true" name="공정표" vbProcedure="false">{#N/A,#N/A,FALSE,"현장 NCR 분석";#N/A,#N/A,FALSE,"현장품질감사";#N/A,#N/A,FALSE,"현장품질감사"}</definedName>
    <definedName function="false" hidden="false" name="공종" vbProcedure="false">#REF!</definedName>
    <definedName function="false" hidden="false" name="공종갯수" vbProcedure="false">#REF!</definedName>
    <definedName function="false" hidden="true" name="공통가설" vbProcedure="false">#REF!</definedName>
    <definedName function="false" hidden="false" name="관급" vbProcedure="false">#REF!,#REF!,#REF!</definedName>
    <definedName function="false" hidden="false" name="관급액" vbProcedure="false">#REF!</definedName>
    <definedName function="false" hidden="false" name="관급자재" vbProcedure="false">#REF!</definedName>
    <definedName function="false" hidden="false" name="관급자재대" vbProcedure="false">#REF!</definedName>
    <definedName function="false" hidden="false" name="관로연장거리" vbProcedure="false">#REF!</definedName>
    <definedName function="false" hidden="false" name="관목계" vbProcedure="false">#REF!</definedName>
    <definedName function="false" hidden="false" name="관용접노무" vbProcedure="false">#REF!</definedName>
    <definedName function="false" hidden="false" name="관용접노무비" vbProcedure="false">#REF!</definedName>
    <definedName function="false" hidden="false" name="관용접재료" vbProcedure="false">#REF!</definedName>
    <definedName function="false" hidden="false" name="관용접재료비" vbProcedure="false">#REF!</definedName>
    <definedName function="false" hidden="false" name="관정지반고" vbProcedure="false">#REF!</definedName>
    <definedName function="false" hidden="false" name="광산" vbProcedure="false">#REF!</definedName>
    <definedName function="false" hidden="false" name="광산품" vbProcedure="false">#REF!</definedName>
    <definedName function="false" hidden="true" name="교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교동토목공사" vbProcedure="false">{#N/A,#N/A,FALSE,"이태원철근"}</definedName>
    <definedName function="false" hidden="false" name="교목계" vbProcedure="false">#REF!</definedName>
    <definedName function="false" hidden="true" name="교실동" vbProcedure="false">{#N/A,#N/A,FALSE,"월공사비집계표양식 (7)";#N/A,#N/A,FALSE,"월공사비집계표양식 (7)"}</definedName>
    <definedName function="false" hidden="true" name="교통" vbProcedure="false">#REF!</definedName>
    <definedName function="false" hidden="true" name="구" vbProcedure="false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function="false" hidden="true" name="구2호" vbProcedure="false">{"'중기작업1'!$A$1:$V$18"}</definedName>
    <definedName function="false" hidden="false" name="구경" vbProcedure="false">#REF!</definedName>
    <definedName function="false" hidden="false" name="구분" vbProcedure="false">blankmacro1</definedName>
    <definedName function="false" hidden="false" name="구분1" vbProcedure="false">blankmacro1</definedName>
    <definedName function="false" hidden="true" name="구산갑지" vbProcedure="false">#REF!</definedName>
    <definedName function="false" hidden="true" name="구자관" vbProcedure="false">{#N/A,#N/A,FALSE,"신청통보";#N/A,#N/A,FALSE,"기성확인서";#N/A,#N/A,FALSE,"기성내역서"}</definedName>
    <definedName function="false" hidden="false" name="국내장비" vbProcedure="false">#REF!</definedName>
    <definedName function="false" hidden="false" name="국내장비계" vbProcedure="false">#REF!</definedName>
    <definedName function="false" hidden="false" name="군유1" vbProcedure="false">#REF!</definedName>
    <definedName function="false" hidden="false" name="군유2" vbProcedure="false">#REF!</definedName>
    <definedName function="false" hidden="false" name="군유3" vbProcedure="false">#REF!</definedName>
    <definedName function="false" hidden="false" name="군유4" vbProcedure="false">#REF!</definedName>
    <definedName function="false" hidden="false" name="군유5" vbProcedure="false">#REF!</definedName>
    <definedName function="false" hidden="false" name="군유6" vbProcedure="false">#REF!</definedName>
    <definedName function="false" hidden="false" name="군유7" vbProcedure="false">#REF!</definedName>
    <definedName function="false" hidden="true" name="권대협" vbProcedure="false">{#N/A,#N/A,FALSE,"CCTV"}</definedName>
    <definedName function="false" hidden="false" name="규격11" vbProcedure="false">#REF!</definedName>
    <definedName function="false" hidden="false" name="규격수" vbProcedure="false">#REF!</definedName>
    <definedName function="false" hidden="true" name="그만" vbProcedure="false">{#N/A,#N/A,FALSE,"Sheet1"}</definedName>
    <definedName function="false" hidden="true" name="근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근린" vbProcedure="false">{#N/A,#N/A,FALSE,"Sheet1"}</definedName>
    <definedName function="false" hidden="false" name="금마타리" vbProcedure="false">#REF!</definedName>
    <definedName function="false" hidden="false" name="금액_수식" vbProcedure="false">#REF!</definedName>
    <definedName function="false" hidden="true" name="금액대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금액비교" vbProcedure="false">{#N/A,#N/A,FALSE,"CCTV"}</definedName>
    <definedName function="false" hidden="true" name="급수펌프선정" vbProcedure="false">{"'급수사용량산정 (2)'!$A$1:$M$49","'급수사용량산정 (2)'!$A$1:$M$80"}</definedName>
    <definedName function="false" hidden="false" name="기" vbProcedure="false">#REF!</definedName>
    <definedName function="false" hidden="true" name="기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기계" vbProcedure="false">#REF!</definedName>
    <definedName function="false" hidden="false" name="기계3" vbProcedure="false">blankmacro1</definedName>
    <definedName function="false" hidden="false" name="기계4" vbProcedure="false">blankmacro1</definedName>
    <definedName function="false" hidden="false" name="기계경비" vbProcedure="false">#REF!</definedName>
    <definedName function="false" hidden="false" name="기계되경" vbProcedure="false">#REF!</definedName>
    <definedName function="false" hidden="false" name="기계되노" vbProcedure="false">#REF!</definedName>
    <definedName function="false" hidden="false" name="기계되재" vbProcedure="false">#REF!</definedName>
    <definedName function="false" hidden="false" name="기계운전" vbProcedure="false">#REF!</definedName>
    <definedName function="false" hidden="false" name="기계잔경" vbProcedure="false">#REF!</definedName>
    <definedName function="false" hidden="false" name="기계잔노" vbProcedure="false">#REF!</definedName>
    <definedName function="false" hidden="false" name="기계잔재" vbProcedure="false">#REF!</definedName>
    <definedName function="false" hidden="true" name="기계집계" vbProcedure="false">{#N/A,#N/A,FALSE,"2~8번"}</definedName>
    <definedName function="false" hidden="false" name="기계터경" vbProcedure="false">#REF!</definedName>
    <definedName function="false" hidden="false" name="기계터노" vbProcedure="false">#REF!</definedName>
    <definedName function="false" hidden="false" name="기계터재" vbProcedure="false">#REF!</definedName>
    <definedName function="false" hidden="true" name="기본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기성3" vbProcedure="false">{#N/A,#N/A,FALSE,"CCTV"}</definedName>
    <definedName function="false" hidden="true" name="기성갑" vbProcedure="false">#REF!</definedName>
    <definedName function="false" hidden="true" name="기성원가" vbProcedure="false">{#N/A,#N/A,FALSE,"월공사비집계표양식 (7)";#N/A,#N/A,FALSE,"월공사비집계표양식 (7)"}</definedName>
    <definedName function="false" hidden="true" name="기술3" vbProcedure="false">{#N/A,#N/A,TRUE,"손익보고"}</definedName>
    <definedName function="false" hidden="false" name="기안" vbProcedure="false">#REF!</definedName>
    <definedName function="false" hidden="true" name="기자재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기초" vbProcedure="false">#REF!</definedName>
    <definedName function="false" hidden="false" name="기초데이타" vbProcedure="false">#REF!</definedName>
    <definedName function="false" hidden="false" name="기초액" vbProcedure="false">#REF!</definedName>
    <definedName function="false" hidden="false" name="기타경비" vbProcedure="false">#REF!</definedName>
    <definedName function="false" hidden="false" name="기타경비요율" vbProcedure="false">#REF!</definedName>
    <definedName function="false" hidden="false" name="기타경비표" vbProcedure="false">#REF!</definedName>
    <definedName function="false" hidden="true" name="길화" vbProcedure="false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function="false" hidden="true" name="길화건" vbProcedure="false">{#N/A,#N/A,FALSE,"도급대비시행율";#N/A,#N/A,FALSE,"결의서";#N/A,#N/A,FALSE,"내역서";#N/A,#N/A,FALSE,"도급예상"}</definedName>
    <definedName function="false" hidden="true" name="길화건업" vbProcedure="false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function="false" hidden="false" name="김" vbProcedure="false">blankmacro1</definedName>
    <definedName function="false" hidden="true" name="김1" vbProcedure="false">{"'Firr(선)'!$AS$1:$AY$62","'Firr(사)'!$AS$1:$AY$62","'Firr(회)'!$AS$1:$AY$62","'Firr(선)'!$L$1:$V$62","'Firr(사)'!$L$1:$V$62","'Firr(회)'!$L$1:$V$62"}</definedName>
    <definedName function="false" hidden="false" name="김진성1" vbProcedure="false">blankmacro1</definedName>
    <definedName function="false" hidden="false" name="깊이" vbProcedure="false">#REF!</definedName>
    <definedName function="false" hidden="false" name="꽃사과10노무" vbProcedure="false">#REF!</definedName>
    <definedName function="false" hidden="false" name="꽃사과10재료" vbProcedure="false">#REF!</definedName>
    <definedName function="false" hidden="false" name="꽃사과6노무" vbProcedure="false">#REF!</definedName>
    <definedName function="false" hidden="false" name="꽃사과6재료" vbProcedure="false">#REF!</definedName>
    <definedName function="false" hidden="false" name="꽃사과8노무" vbProcedure="false">#REF!</definedName>
    <definedName function="false" hidden="false" name="꽃사과8재료" vbProcedure="false">#REF!</definedName>
    <definedName function="false" hidden="false" name="꽃창포" vbProcedure="false">#REF!</definedName>
    <definedName function="false" hidden="false" name="꽃향유" vbProcedure="false">#REF!</definedName>
    <definedName function="false" hidden="false" name="나" vbProcedure="false">#REF!</definedName>
    <definedName function="false" hidden="false" name="나." vbProcedure="false">#REF!</definedName>
    <definedName function="false" hidden="true" name="나ㅏㅓ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나ㅓㅗㄹ어ㅕㅇㄴ린ㄹㅇ" vbProcedure="false">{#N/A,#N/A,FALSE,"단가표지"}</definedName>
    <definedName function="false" hidden="false" name="나무" vbProcedure="false">#REF!</definedName>
    <definedName function="false" hidden="false" name="낙우송6노무" vbProcedure="false">#REF!</definedName>
    <definedName function="false" hidden="false" name="낙우송6재료" vbProcedure="false">#REF!</definedName>
    <definedName function="false" hidden="false" name="낙우송8노무" vbProcedure="false">#REF!</definedName>
    <definedName function="false" hidden="false" name="낙우송8재료" vbProcedure="false">#REF!</definedName>
    <definedName function="false" hidden="false" name="낙찰가" vbProcedure="false">#N/A</definedName>
    <definedName function="false" hidden="true" name="남남" vbProcedure="false">#REF!</definedName>
    <definedName function="false" hidden="false" name="남덕" vbProcedure="false">blankmacro1</definedName>
    <definedName function="false" hidden="false" name="남덕1" vbProcedure="false">blankmacro1</definedName>
    <definedName function="false" hidden="false" name="남산1호" vbProcedure="false">#REF!</definedName>
    <definedName function="false" hidden="false" name="남산2호" vbProcedure="false">#REF!</definedName>
    <definedName function="false" hidden="true" name="남서울문화체육관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false" name="내" vbProcedure="false">#N/A</definedName>
    <definedName function="false" hidden="false" name="내역" vbProcedure="false">#REF!</definedName>
    <definedName function="false" hidden="false" name="내역1" vbProcedure="false">#REF!</definedName>
    <definedName function="false" hidden="false" name="내역서" vbProcedure="false">#REF!</definedName>
    <definedName function="false" hidden="false" name="내용" vbProcedure="false">blankmacro1</definedName>
    <definedName function="false" hidden="true" name="내장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낵역4" vbProcedure="false">#REF!</definedName>
    <definedName function="false" hidden="true" name="냉난방" vbProcedure="false">{#N/A,#N/A,FALSE,"지침";#N/A,#N/A,FALSE,"환경분석";#N/A,#N/A,FALSE,"Sheet16"}</definedName>
    <definedName function="false" hidden="true" name="녭" vbProcedure="false">#REF!</definedName>
    <definedName function="false" hidden="false" name="노_간단" vbProcedure="false">#REF!</definedName>
    <definedName function="false" hidden="false" name="노_강관비계12개월" vbProcedure="false">#REF!</definedName>
    <definedName function="false" hidden="false" name="노_강관비계3개월" vbProcedure="false">#REF!</definedName>
    <definedName function="false" hidden="false" name="노_강관비계6개월" vbProcedure="false">#REF!</definedName>
    <definedName function="false" hidden="false" name="노_거푸집1회" vbProcedure="false">#REF!</definedName>
    <definedName function="false" hidden="false" name="노_거푸집3회" vbProcedure="false">#REF!</definedName>
    <definedName function="false" hidden="false" name="노_거푸집4회" vbProcedure="false">#REF!</definedName>
    <definedName function="false" hidden="false" name="노_거푸집6회" vbProcedure="false">#REF!</definedName>
    <definedName function="false" hidden="false" name="노_모르터2" vbProcedure="false">#REF!</definedName>
    <definedName function="false" hidden="false" name="노_모르터3" vbProcedure="false">#REF!</definedName>
    <definedName function="false" hidden="false" name="노_무근40_08" vbProcedure="false">#REF!</definedName>
    <definedName function="false" hidden="false" name="노_무근40_12" vbProcedure="false">#REF!</definedName>
    <definedName function="false" hidden="false" name="노_문양거푸집" vbProcedure="false">#REF!</definedName>
    <definedName function="false" hidden="false" name="노_보통" vbProcedure="false">#REF!</definedName>
    <definedName function="false" hidden="false" name="노_복잡" vbProcedure="false">#REF!</definedName>
    <definedName function="false" hidden="false" name="노_소형25_12" vbProcedure="false">#REF!</definedName>
    <definedName function="false" hidden="false" name="노_소형40_08" vbProcedure="false">#REF!</definedName>
    <definedName function="false" hidden="false" name="노_소형40_12" vbProcedure="false">#REF!</definedName>
    <definedName function="false" hidden="false" name="노_아스콘기층" vbProcedure="false">#REF!</definedName>
    <definedName function="false" hidden="false" name="노_아스콘표층" vbProcedure="false">#REF!</definedName>
    <definedName function="false" hidden="false" name="노_철근25_12" vbProcedure="false">#REF!</definedName>
    <definedName function="false" hidden="false" name="노_철근40_08" vbProcedure="false">#REF!</definedName>
    <definedName function="false" hidden="false" name="노_철근40_12" vbProcedure="false">#REF!</definedName>
    <definedName function="false" hidden="false" name="노_콘크리트" vbProcedure="false">#REF!</definedName>
    <definedName function="false" hidden="false" name="노_택코팅" vbProcedure="false">#REF!</definedName>
    <definedName function="false" hidden="false" name="노_프라임코팅" vbProcedure="false">#REF!</definedName>
    <definedName function="false" hidden="false" name="노곡1호" vbProcedure="false">#REF!</definedName>
    <definedName function="false" hidden="false" name="노곡2호" vbProcedure="false">#REF!</definedName>
    <definedName function="false" hidden="false" name="노곡3호" vbProcedure="false">#REF!</definedName>
    <definedName function="false" hidden="false" name="노곡4호" vbProcedure="false">#REF!</definedName>
    <definedName function="false" hidden="true" name="노니" vbProcedure="false">#REF!</definedName>
    <definedName function="false" hidden="false" name="노무" vbProcedure="false">#REF!</definedName>
    <definedName function="false" hidden="false" name="노무단가" vbProcedure="false">#REF!</definedName>
    <definedName function="false" hidden="false" name="노무비" vbProcedure="false">#REF!</definedName>
    <definedName function="false" hidden="false" name="노무비계" vbProcedure="false">#REF!</definedName>
    <definedName function="false" hidden="false" name="노무비합" vbProcedure="false">#REF!</definedName>
    <definedName function="false" hidden="false" name="노반경" vbProcedure="false">#REF!</definedName>
    <definedName function="false" hidden="false" name="노반노무" vbProcedure="false">#REF!</definedName>
    <definedName function="false" hidden="false" name="노반재료" vbProcedure="false">#REF!</definedName>
    <definedName function="false" hidden="false" name="노부비" vbProcedure="false">#REF!</definedName>
    <definedName function="false" hidden="true" name="노원문화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노원문화1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노원문화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노인1" vbProcedure="false">{"'중기작업1'!$A$1:$V$18"}</definedName>
    <definedName function="false" hidden="false" name="노임" vbProcedure="false">#REF!</definedName>
    <definedName function="false" hidden="false" name="노임1" vbProcedure="false">blankmacro1</definedName>
    <definedName function="false" hidden="true" name="노임13" vbProcedure="false">{#N/A,#N/A,FALSE,"Sheet1"}</definedName>
    <definedName function="false" hidden="true" name="노임14" vbProcedure="false">{#N/A,#N/A,FALSE,"Sheet1"}</definedName>
    <definedName function="false" hidden="false" name="노임2" vbProcedure="false">blankmacro1</definedName>
    <definedName function="false" hidden="false" name="녹지노" vbProcedure="false">#REF!</definedName>
    <definedName function="false" hidden="false" name="녹지재" vbProcedure="false">#REF!</definedName>
    <definedName function="false" hidden="true" name="논현동외" vbProcedure="false">{#N/A,#N/A,FALSE,"Sheet6"}</definedName>
    <definedName function="false" hidden="false" name="농림" vbProcedure="false">#REF!</definedName>
    <definedName function="false" hidden="false" name="농원1호" vbProcedure="false">#REF!</definedName>
    <definedName function="false" hidden="false" name="농원2호" vbProcedure="false">#REF!</definedName>
    <definedName function="false" hidden="false" name="눈주목" vbProcedure="false">#REF!</definedName>
    <definedName function="false" hidden="false" name="느릅나무10노무" vbProcedure="false">#REF!</definedName>
    <definedName function="false" hidden="false" name="느릅나무10재료" vbProcedure="false">#REF!</definedName>
    <definedName function="false" hidden="false" name="느릅나무5노무" vbProcedure="false">#REF!</definedName>
    <definedName function="false" hidden="false" name="느릅나무5재료" vbProcedure="false">#REF!</definedName>
    <definedName function="false" hidden="false" name="느릅나무8노무" vbProcedure="false">#REF!</definedName>
    <definedName function="false" hidden="false" name="느릅나무8재료" vbProcedure="false">#REF!</definedName>
    <definedName function="false" hidden="false" name="느티나무" vbProcedure="false">#REF!</definedName>
    <definedName function="false" hidden="false" name="니" vbProcedure="false">#REF!</definedName>
    <definedName function="false" hidden="false" name="다" vbProcedure="false">#REF!</definedName>
    <definedName function="false" hidden="false" name="다." vbProcedure="false">#REF!</definedName>
    <definedName function="false" hidden="true" name="다배관방식" vbProcedure="false">{#N/A,#N/A,FALSE,"Sheet1"}</definedName>
    <definedName function="false" hidden="false" name="다음레코드" vbProcedure="false">#REF!</definedName>
    <definedName function="false" hidden="true" name="단ㄱ" vbProcedure="false">{#N/A,#N/A,FALSE,"전력간선"}</definedName>
    <definedName function="false" hidden="false" name="단가" vbProcedure="false">#REF!</definedName>
    <definedName function="false" hidden="false" name="단가2" vbProcedure="false">#REF!,#REF!</definedName>
    <definedName function="false" hidden="false" name="단가비교표" vbProcedure="false">#REF!,#REF!</definedName>
    <definedName function="false" hidden="false" name="단가비교표1" vbProcedure="false">#REF!,#REF!</definedName>
    <definedName function="false" hidden="false" name="단가적용표" vbProcedure="false">#REF!</definedName>
    <definedName function="false" hidden="true" name="단가조사자료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단가조사표" vbProcedure="false">#REF!</definedName>
    <definedName function="false" hidden="false" name="단가표" vbProcedure="false">#REF!</definedName>
    <definedName function="false" hidden="true" name="당진군예술회관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name="대교건설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name="대교건설2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name="대구공항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대기" vbProcedure="false">#REF!</definedName>
    <definedName function="false" hidden="false" name="대나무" vbProcedure="false">#REF!</definedName>
    <definedName function="false" hidden="true" name="대덕" vbProcedure="false">{#N/A,#N/A,FALSE,"CCTV"}</definedName>
    <definedName function="false" hidden="true" name="대리석포장" vbProcedure="false">{#N/A,#N/A,TRUE,"총괄"}</definedName>
    <definedName function="false" hidden="true" name="대비" vbProcedure="false">{#N/A,#N/A,FALSE,"CCTV"}</definedName>
    <definedName function="false" hidden="true" name="대상" vbProcedure="false">#REF!</definedName>
    <definedName function="false" hidden="false" name="대전내역서_대전추가비교표_List" vbProcedure="false">#REF!</definedName>
    <definedName function="false" hidden="true" name="대표회의" vbProcedure="false">{#N/A,#N/A,FALSE,"현장 NCR 분석";#N/A,#N/A,FALSE,"현장품질감사";#N/A,#N/A,FALSE,"현장품질감사"}</definedName>
    <definedName function="false" hidden="true" name="대한" vbProcedure="false">#REF!</definedName>
    <definedName function="false" hidden="false" name="덕산1호" vbProcedure="false">#REF!</definedName>
    <definedName function="false" hidden="false" name="덕산2호" vbProcedure="false">#REF!</definedName>
    <definedName function="false" hidden="false" name="덕산3호" vbProcedure="false">#REF!</definedName>
    <definedName function="false" hidden="false" name="덕산4호" vbProcedure="false">#REF!</definedName>
    <definedName function="false" hidden="false" name="덕전1호" vbProcedure="false">#REF!</definedName>
    <definedName function="false" hidden="false" name="덕전2호" vbProcedure="false">#REF!</definedName>
    <definedName function="false" hidden="false" name="덕전3호" vbProcedure="false">#REF!</definedName>
    <definedName function="false" hidden="false" name="덕지1호" vbProcedure="false">#REF!</definedName>
    <definedName function="false" hidden="false" name="덕천1호" vbProcedure="false">#REF!</definedName>
    <definedName function="false" hidden="false" name="덕천2호" vbProcedure="false">#REF!</definedName>
    <definedName function="false" hidden="false" name="덕천3호" vbProcedure="false">#REF!</definedName>
    <definedName function="false" hidden="false" name="덕천4호" vbProcedure="false">#REF!</definedName>
    <definedName function="false" hidden="true" name="덕흥흥건축" vbProcedure="false">#REF!</definedName>
    <definedName function="false" hidden="false" name="덤프15경" vbProcedure="false">#REF!</definedName>
    <definedName function="false" hidden="false" name="덤프15노무" vbProcedure="false">#REF!</definedName>
    <definedName function="false" hidden="false" name="덤프15재료" vbProcedure="false">#REF!</definedName>
    <definedName function="false" hidden="false" name="덤프2.5경" vbProcedure="false">#REF!</definedName>
    <definedName function="false" hidden="false" name="덤프2.5노무" vbProcedure="false">#REF!</definedName>
    <definedName function="false" hidden="false" name="덤프2.5재료" vbProcedure="false">#REF!</definedName>
    <definedName function="false" hidden="false" name="뎡유" vbProcedure="false">#REF!</definedName>
    <definedName function="false" hidden="true" name="도급4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도급444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도급경비" vbProcedure="false">#REF!</definedName>
    <definedName function="false" hidden="false" name="도급공사비" vbProcedure="false">#REF!</definedName>
    <definedName function="false" hidden="false" name="도급공사비계" vbProcedure="false">#REF!</definedName>
    <definedName function="false" hidden="false" name="도급분경비" vbProcedure="false">#REF!</definedName>
    <definedName function="false" hidden="false" name="도급분경비계" vbProcedure="false">#REF!</definedName>
    <definedName function="false" hidden="false" name="도급분공통가설" vbProcedure="false">#REF!</definedName>
    <definedName function="false" hidden="true" name="도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도서인쇄" vbProcedure="false">#REF!</definedName>
    <definedName function="false" hidden="false" name="도서인쇄비" vbProcedure="false">#REF!</definedName>
    <definedName function="false" hidden="false" name="돌단풍" vbProcedure="false">#REF!</definedName>
    <definedName function="false" hidden="true" name="동구연숩" vbProcedure="false">{#N/A,#N/A,FALSE,"전력간선"}</definedName>
    <definedName function="false" hidden="false" name="동백나무2노무" vbProcedure="false">#REF!</definedName>
    <definedName function="false" hidden="false" name="동백나무2재료" vbProcedure="false">#REF!</definedName>
    <definedName function="false" hidden="false" name="동백나무4노무" vbProcedure="false">#REF!</definedName>
    <definedName function="false" hidden="false" name="동백나무4재료" vbProcedure="false">#REF!</definedName>
    <definedName function="false" hidden="false" name="동백나무6노무" vbProcedure="false">#REF!</definedName>
    <definedName function="false" hidden="false" name="동백나무6재료" vbProcedure="false">#REF!</definedName>
    <definedName function="false" hidden="false" name="동백나무8노무" vbProcedure="false">#REF!</definedName>
    <definedName function="false" hidden="false" name="동백나무8재료" vbProcedure="false">#REF!</definedName>
    <definedName function="false" hidden="false" name="되메우기" vbProcedure="false">#REF!</definedName>
    <definedName function="false" hidden="false" name="되메우기경" vbProcedure="false">#REF!</definedName>
    <definedName function="false" hidden="false" name="되메우기노" vbProcedure="false">#REF!</definedName>
    <definedName function="false" hidden="false" name="되메우기재" vbProcedure="false">#REF!</definedName>
    <definedName function="false" hidden="false" name="두겁노" vbProcedure="false">#REF!</definedName>
    <definedName function="false" hidden="false" name="두겁재" vbProcedure="false">#REF!</definedName>
    <definedName function="false" hidden="false" name="두기1" vbProcedure="false">#REF!</definedName>
    <definedName function="false" hidden="false" name="두기1호" vbProcedure="false">#REF!</definedName>
    <definedName function="false" hidden="false" name="두기2" vbProcedure="false">#REF!</definedName>
    <definedName function="false" hidden="false" name="두기2호" vbProcedure="false">#REF!</definedName>
    <definedName function="false" hidden="false" name="두기3" vbProcedure="false">#REF!</definedName>
    <definedName function="false" hidden="false" name="두기3호" vbProcedure="false">#REF!</definedName>
    <definedName function="false" hidden="true" name="둑7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디" vbProcedure="false">#REF!</definedName>
    <definedName function="false" hidden="true" name="디디" vbProcedure="false">#REF!</definedName>
    <definedName function="false" hidden="false" name="라" vbProcedure="false">#REF!</definedName>
    <definedName function="false" hidden="true" name="라ㅓ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라라" vbProcedure="false">blankmacro1</definedName>
    <definedName function="false" hidden="false" name="램머경" vbProcedure="false">#REF!</definedName>
    <definedName function="false" hidden="false" name="램머노무" vbProcedure="false">#REF!</definedName>
    <definedName function="false" hidden="false" name="램머재료" vbProcedure="false">#REF!</definedName>
    <definedName function="false" hidden="true" name="러헐" vbProcedure="false">{#N/A,#N/A,FALSE,"도급대비시행율";#N/A,#N/A,FALSE,"결의서";#N/A,#N/A,FALSE,"내역서";#N/A,#N/A,FALSE,"도급예상"}</definedName>
    <definedName function="false" hidden="false" name="레180" vbProcedure="false">#REF!</definedName>
    <definedName function="false" hidden="false" name="레210" vbProcedure="false">#REF!</definedName>
    <definedName function="false" hidden="false" name="레미콘무노" vbProcedure="false">#REF!</definedName>
    <definedName function="false" hidden="false" name="레미콘무재" vbProcedure="false">#REF!</definedName>
    <definedName function="false" hidden="false" name="레미콘소노" vbProcedure="false">#REF!</definedName>
    <definedName function="false" hidden="false" name="레미콘소재" vbProcedure="false">#REF!</definedName>
    <definedName function="false" hidden="false" name="레미콘철" vbProcedure="false">#REF!</definedName>
    <definedName function="false" hidden="false" name="레미콘철노" vbProcedure="false">#REF!</definedName>
    <definedName function="false" hidden="false" name="레미콘철재" vbProcedure="false">#REF!</definedName>
    <definedName function="false" hidden="true" name="려ㅛ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롸" vbProcedure="false">#REF!</definedName>
    <definedName function="false" hidden="true" name="뢰" vbProcedure="false">#REF!</definedName>
    <definedName function="false" hidden="true" name="루사" vbProcedure="false">#REF!</definedName>
    <definedName function="false" hidden="true" name="를" vbProcedure="false">#REF!</definedName>
    <definedName function="false" hidden="false" name="리" vbProcedure="false">#REF!</definedName>
    <definedName function="false" hidden="false" name="리스트" vbProcedure="false">#REF!</definedName>
    <definedName function="false" hidden="false" name="마" vbProcedure="false">#REF!</definedName>
    <definedName function="false" hidden="false" name="마감" vbProcedure="false">#REF!</definedName>
    <definedName function="false" hidden="false" name="마감표" vbProcedure="false">#REF!</definedName>
    <definedName function="false" hidden="false" name="마력" vbProcedure="false">#REF!</definedName>
    <definedName function="false" hidden="false" name="마케담경" vbProcedure="false">#REF!</definedName>
    <definedName function="false" hidden="false" name="마케담노무" vbProcedure="false">#REF!</definedName>
    <definedName function="false" hidden="false" name="마케담재료" vbProcedure="false">#REF!</definedName>
    <definedName function="false" hidden="false" name="말" vbProcedure="false">blankmacro1</definedName>
    <definedName function="false" hidden="true" name="매" vbProcedure="false">#REF!</definedName>
    <definedName function="false" hidden="false" name="매크로1" vbProcedure="false">#REF!</definedName>
    <definedName function="false" hidden="false" name="매화4노무" vbProcedure="false">#REF!</definedName>
    <definedName function="false" hidden="false" name="매화4재료" vbProcedure="false">#REF!</definedName>
    <definedName function="false" hidden="false" name="매화6노무" vbProcedure="false">#REF!</definedName>
    <definedName function="false" hidden="false" name="매화6재료" vbProcedure="false">#REF!</definedName>
    <definedName function="false" hidden="false" name="매화8노무" vbProcedure="false">#REF!</definedName>
    <definedName function="false" hidden="false" name="매화8재료" vbProcedure="false">#REF!</definedName>
    <definedName function="false" hidden="false" name="맥문동" vbProcedure="false">#REF!</definedName>
    <definedName function="false" hidden="true" name="머" vbProcedure="false">{#N/A,#N/A,FALSE,"명세표"}</definedName>
    <definedName function="false" hidden="false" name="머야ㅕ" vbProcedure="false">blankmacro1</definedName>
    <definedName function="false" hidden="false" name="메타10노무" vbProcedure="false">#REF!</definedName>
    <definedName function="false" hidden="false" name="메타10재료" vbProcedure="false">#REF!</definedName>
    <definedName function="false" hidden="false" name="메타5노무" vbProcedure="false">#REF!</definedName>
    <definedName function="false" hidden="false" name="메타5재료" vbProcedure="false">#REF!</definedName>
    <definedName function="false" hidden="false" name="메타6노무" vbProcedure="false">#REF!</definedName>
    <definedName function="false" hidden="false" name="메타6재료" vbProcedure="false">#REF!</definedName>
    <definedName function="false" hidden="false" name="메타8노무" vbProcedure="false">#REF!</definedName>
    <definedName function="false" hidden="false" name="메타8재료" vbProcedure="false">#REF!</definedName>
    <definedName function="false" hidden="false" name="면적" vbProcedure="false">#REF!</definedName>
    <definedName function="false" hidden="false" name="명_성" vbProcedure="false">#REF!</definedName>
    <definedName function="false" hidden="true" name="명단" vbProcedure="false">{#N/A,"수불부",FALSE,"사급자재수불서";#N/A,"수불부",FALSE,"사급자재수불서"}</definedName>
    <definedName function="false" hidden="false" name="명성" vbProcedure="false">#REF!</definedName>
    <definedName function="false" hidden="false" name="명칭" vbProcedure="false">#REF!</definedName>
    <definedName function="false" hidden="false" name="모과나무" vbProcedure="false">#REF!</definedName>
    <definedName function="false" hidden="false" name="모래노" vbProcedure="false">#REF!</definedName>
    <definedName function="false" hidden="false" name="모래막이노" vbProcedure="false">#REF!</definedName>
    <definedName function="false" hidden="false" name="모래막이재" vbProcedure="false">#REF!</definedName>
    <definedName function="false" hidden="false" name="모래사장노" vbProcedure="false">#REF!</definedName>
    <definedName function="false" hidden="false" name="모래사장재" vbProcedure="false">#REF!</definedName>
    <definedName function="false" hidden="false" name="모래재" vbProcedure="false">#REF!</definedName>
    <definedName function="false" hidden="false" name="모래필터층경비" vbProcedure="false">#REF!</definedName>
    <definedName function="false" hidden="false" name="모래필터층노무비" vbProcedure="false">#REF!</definedName>
    <definedName function="false" hidden="false" name="모래필터층재료비" vbProcedure="false">#REF!</definedName>
    <definedName function="false" hidden="false" name="모터경" vbProcedure="false">#REF!</definedName>
    <definedName function="false" hidden="false" name="모터노무비" vbProcedure="false">#REF!</definedName>
    <definedName function="false" hidden="false" name="모터재료" vbProcedure="false">#REF!</definedName>
    <definedName function="false" hidden="true" name="모형1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모형물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모형제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목공" vbProcedure="false">[0]!집</definedName>
    <definedName function="false" hidden="false" name="목록1" vbProcedure="false">#REF!</definedName>
    <definedName function="false" hidden="false" name="목록2" vbProcedure="false">#REF!</definedName>
    <definedName function="false" hidden="false" name="목백합" vbProcedure="false">#REF!</definedName>
    <definedName function="false" hidden="false" name="목재가공" vbProcedure="false">#REF!</definedName>
    <definedName function="false" hidden="true" name="몰라" vbProcedure="false">{#N/A,#N/A,FALSE,"명세표"}</definedName>
    <definedName function="false" hidden="false" name="몰탈노" vbProcedure="false">#REF!</definedName>
    <definedName function="false" hidden="false" name="몰탈재" vbProcedure="false">#REF!</definedName>
    <definedName function="false" hidden="false" name="무궁화" vbProcedure="false">#REF!</definedName>
    <definedName function="false" hidden="false" name="무기질노" vbProcedure="false">#REF!</definedName>
    <definedName function="false" hidden="false" name="무기질재" vbProcedure="false">#REF!</definedName>
    <definedName function="false" hidden="false" name="무농1호" vbProcedure="false">#REF!</definedName>
    <definedName function="false" hidden="false" name="무농2호" vbProcedure="false">#REF!</definedName>
    <definedName function="false" hidden="true" name="물" vbProcedure="false">{#N/A,#N/A,FALSE,"이태원철근"}</definedName>
    <definedName function="false" hidden="true" name="물가" vbProcedure="false">{#N/A,#N/A,FALSE,"이태원철근"}</definedName>
    <definedName function="false" hidden="true" name="물가변동내역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물경" vbProcedure="false">#REF!</definedName>
    <definedName function="false" hidden="false" name="물노무" vbProcedure="false">#REF!</definedName>
    <definedName function="false" hidden="true" name="물량산출근거조서" vbProcedure="false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function="false" hidden="false" name="물량집계" vbProcedure="false">#REF!</definedName>
    <definedName function="false" hidden="false" name="물량집계1" vbProcedure="false">#REF!</definedName>
    <definedName function="false" hidden="false" name="물재료" vbProcedure="false">#REF!</definedName>
    <definedName function="false" hidden="true" name="뭐가이태원이야" vbProcedure="false">{#N/A,#N/A,FALSE,"이태원철근"}</definedName>
    <definedName function="false" hidden="true" name="미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미송원목" vbProcedure="false">#REF!</definedName>
    <definedName function="false" hidden="true" name="미이" vbProcedure="false">#REF!</definedName>
    <definedName function="false" hidden="false" name="바" vbProcedure="false">#REF!</definedName>
    <definedName function="false" hidden="true" name="바부" vbProcedure="false">{"'용역비'!$A$4:$C$8"}</definedName>
    <definedName function="false" hidden="true" name="바붕" vbProcedure="false">{#N/A,#N/A,FALSE,"전력간선"}</definedName>
    <definedName function="false" hidden="false" name="바이오" vbProcedure="false">#REF!</definedName>
    <definedName function="false" hidden="false" name="바탕원본표1" vbProcedure="false">#REF!</definedName>
    <definedName function="false" hidden="false" name="박은하" vbProcedure="false">dlog_show</definedName>
    <definedName function="false" hidden="false" name="박태기" vbProcedure="false">#REF!</definedName>
    <definedName function="false" hidden="false" name="박피" vbProcedure="false">#REF!</definedName>
    <definedName function="false" hidden="true" name="발주용공내역서" vbProcedure="false">{#N/A,#N/A,FALSE,"사업총괄";#N/A,#N/A,FALSE,"장비사업";#N/A,#N/A,FALSE,"철구사업";#N/A,#N/A,FALSE,"준설사업"}</definedName>
    <definedName function="false" hidden="false" name="밤나무10노무" vbProcedure="false">#REF!</definedName>
    <definedName function="false" hidden="false" name="밤나무10재료" vbProcedure="false">#REF!</definedName>
    <definedName function="false" hidden="false" name="밤나무6노무" vbProcedure="false">#REF!</definedName>
    <definedName function="false" hidden="false" name="밤나무6재료" vbProcedure="false">#REF!</definedName>
    <definedName function="false" hidden="false" name="밤나무8노무" vbProcedure="false">#REF!</definedName>
    <definedName function="false" hidden="false" name="밤나무8재료" vbProcedure="false">#REF!</definedName>
    <definedName function="false" hidden="false" name="방송" vbProcedure="false">blankmacro1</definedName>
    <definedName function="false" hidden="false" name="방수공" vbProcedure="false">#REF!</definedName>
    <definedName function="false" hidden="false" name="배관공계" vbProcedure="false">#REF!</definedName>
    <definedName function="false" hidden="false" name="배관규격" vbProcedure="false">#REF!</definedName>
    <definedName function="false" hidden="false" name="배롱나무" vbProcedure="false">#REF!</definedName>
    <definedName function="false" hidden="true" name="배수" vbProcedure="false">{#N/A,#N/A,FALSE,"월공사비집계표양식 (7)";#N/A,#N/A,FALSE,"월공사비집계표양식 (7)"}</definedName>
    <definedName function="false" hidden="true" name="배수로총집계" vbProcedure="false">{"'중기작업1'!$A$1:$V$18"}</definedName>
    <definedName function="false" hidden="true" name="백" vbProcedure="false">{#N/A,#N/A,FALSE,"월공사비집계표양식 (7)";#N/A,#N/A,FALSE,"월공사비집계표양식 (7)"}</definedName>
    <definedName function="false" hidden="false" name="백호2경" vbProcedure="false">#REF!</definedName>
    <definedName function="false" hidden="false" name="백호2노무" vbProcedure="false">#REF!</definedName>
    <definedName function="false" hidden="false" name="백호2재료" vbProcedure="false">#REF!</definedName>
    <definedName function="false" hidden="false" name="백호7경" vbProcedure="false">#REF!</definedName>
    <definedName function="false" hidden="false" name="백호7노무" vbProcedure="false">#REF!</definedName>
    <definedName function="false" hidden="false" name="백호7재료" vbProcedure="false">#REF!</definedName>
    <definedName function="false" hidden="false" name="밸브장치" vbProcedure="false">#REF!</definedName>
    <definedName function="false" hidden="false" name="번들1호" vbProcedure="false">#REF!</definedName>
    <definedName function="false" hidden="false" name="번들2호" vbProcedure="false">#REF!</definedName>
    <definedName function="false" hidden="false" name="번들3호" vbProcedure="false">#REF!</definedName>
    <definedName function="false" hidden="false" name="벌목단가산출" vbProcedure="false">#REF!</definedName>
    <definedName function="false" hidden="true" name="변경수량" vbProcedure="false">{#N/A,#N/A,FALSE,"혼합골재"}</definedName>
    <definedName function="false" hidden="false" name="보" vbProcedure="false">#REF!</definedName>
    <definedName function="false" hidden="true" name="보도" vbProcedure="false">{#N/A,#N/A,TRUE,"총괄"}</definedName>
    <definedName function="false" hidden="false" name="보도노" vbProcedure="false">#REF!</definedName>
    <definedName function="false" hidden="false" name="보도재" vbProcedure="false">#REF!</definedName>
    <definedName function="false" hidden="false" name="보습제" vbProcedure="false">#REF!</definedName>
    <definedName function="false" hidden="true" name="보오링그라우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보온공계" vbProcedure="false">#REF!</definedName>
    <definedName function="false" hidden="false" name="보일러" vbProcedure="false">blankmacro1</definedName>
    <definedName function="false" hidden="false" name="보조기층부설" vbProcedure="false">#REF!</definedName>
    <definedName function="false" hidden="false" name="보통인부계" vbProcedure="false">#REF!</definedName>
    <definedName function="false" hidden="true" name="보험1" vbProcedure="false">{#N/A,#N/A,FALSE,"사업총괄";#N/A,#N/A,FALSE,"장비사업";#N/A,#N/A,FALSE,"철구사업";#N/A,#N/A,FALSE,"준설사업"}</definedName>
    <definedName function="false" hidden="true" name="보험11" vbProcedure="false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function="false" hidden="false" name="복리" vbProcedure="false">#REF!</definedName>
    <definedName function="false" hidden="false" name="복리후생비" vbProcedure="false">#REF!</definedName>
    <definedName function="false" hidden="true" name="복지" vbProcedure="false">#REF!</definedName>
    <definedName function="false" hidden="true" name="복지회관" vbProcedure="false">{#N/A,#N/A,FALSE,"지침";#N/A,#N/A,FALSE,"환경분석";#N/A,#N/A,FALSE,"Sheet16"}</definedName>
    <definedName function="false" hidden="true" name="봉등비교" vbProcedure="false">{#N/A,#N/A,FALSE,"CCTV"}</definedName>
    <definedName function="false" hidden="true" name="부" vbProcedure="false">{#N/A,#N/A,FALSE,"현장 NCR 분석";#N/A,#N/A,FALSE,"현장품질감사";#N/A,#N/A,FALSE,"현장품질감사"}</definedName>
    <definedName function="false" hidden="false" name="부가가치세" vbProcedure="false">#REF!</definedName>
    <definedName function="false" hidden="false" name="부가가치세요율" vbProcedure="false">#REF!</definedName>
    <definedName function="false" hidden="false" name="부가가치표" vbProcedure="false">#REF!</definedName>
    <definedName function="false" hidden="true" name="부대공사" vbProcedure="false">#REF!</definedName>
    <definedName function="false" hidden="false" name="부대내역비교" vbProcedure="false">#REF!</definedName>
    <definedName function="false" hidden="false" name="부대사항" vbProcedure="false">#REF!</definedName>
    <definedName function="false" hidden="true" name="부대원본" vbProcedure="false">{#N/A,#N/A,FALSE,"토공2"}</definedName>
    <definedName function="false" hidden="false" name="부대입찰잡비" vbProcedure="false">dlog_show</definedName>
    <definedName function="false" hidden="true" name="부대토공2" vbProcedure="false">{#N/A,#N/A,FALSE,"구조2"}</definedName>
    <definedName function="false" hidden="true" name="부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부산주경기장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부손익" vbProcedure="false">{#N/A,#N/A,FALSE,"현장 NCR 분석";#N/A,#N/A,FALSE,"현장품질감사";#N/A,#N/A,FALSE,"현장품질감사"}</definedName>
    <definedName function="false" hidden="false" name="부직포노" vbProcedure="false">#REF!</definedName>
    <definedName function="false" hidden="false" name="부직포재" vbProcedure="false">#REF!</definedName>
    <definedName function="false" hidden="false" name="부토" vbProcedure="false">dlog_show</definedName>
    <definedName function="false" hidden="false" name="부하_부하명" vbProcedure="false">#REF!</definedName>
    <definedName function="false" hidden="true" name="분" vbProcedure="false">{#N/A,#N/A,FALSE,"이태원철근"}</definedName>
    <definedName function="false" hidden="true" name="분당협조" vbProcedure="false">{#N/A,#N/A,FALSE,"이태원철근"}</definedName>
    <definedName function="false" hidden="true" name="분석변경" vbProcedure="false">{#N/A,#N/A,FALSE,"변경관리예산";#N/A,#N/A,FALSE,"변경장비예산";#N/A,#N/A,FALSE,"변경준설예산";#N/A,#N/A,FALSE,"변경철구예산"}</definedName>
    <definedName function="false" hidden="false" name="분수경" vbProcedure="false">#REF!</definedName>
    <definedName function="false" hidden="false" name="분수노" vbProcedure="false">#REF!</definedName>
    <definedName function="false" hidden="false" name="분수재" vbProcedure="false">#REF!</definedName>
    <definedName function="false" hidden="true" name="분야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분야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분야별공사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분양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분전반" vbProcedure="false">blankmacro1</definedName>
    <definedName function="false" hidden="false" name="불도자15경" vbProcedure="false">#REF!</definedName>
    <definedName function="false" hidden="false" name="불도자15노무" vbProcedure="false">#REF!</definedName>
    <definedName function="false" hidden="false" name="불도자15재료" vbProcedure="false">#REF!</definedName>
    <definedName function="false" hidden="true" name="비겁" vbProcedure="false">#REF!</definedName>
    <definedName function="false" hidden="false" name="비계" vbProcedure="false">#REF!</definedName>
    <definedName function="false" hidden="false" name="비계공" vbProcedure="false">#REF!</definedName>
    <definedName function="false" hidden="true" name="비교" vbProcedure="false">255</definedName>
    <definedName function="false" hidden="true" name="비교표1" vbProcedure="false">255</definedName>
    <definedName function="false" hidden="false" name="비목군분류표" vbProcedure="false">#REF!</definedName>
    <definedName function="false" hidden="false" name="비비추" vbProcedure="false">#REF!</definedName>
    <definedName function="false" hidden="false" name="비율" vbProcedure="false">#REF!</definedName>
    <definedName function="false" hidden="false" name="사" vbProcedure="false">#REF!</definedName>
    <definedName function="false" hidden="false" name="사급" vbProcedure="false">#REF!</definedName>
    <definedName function="false" hidden="false" name="사급경비" vbProcedure="false">#REF!</definedName>
    <definedName function="false" hidden="false" name="사급자재" vbProcedure="false">#REF!</definedName>
    <definedName function="false" hidden="false" name="사급자재비" vbProcedure="false">#REF!</definedName>
    <definedName function="false" hidden="false" name="사급총계" vbProcedure="false">#REF!</definedName>
    <definedName function="false" hidden="true" name="사랑" vbProcedure="false">{#N/A,#N/A,FALSE,"토공2"}</definedName>
    <definedName function="false" hidden="false" name="사리도경" vbProcedure="false">#REF!</definedName>
    <definedName function="false" hidden="false" name="사리도노무" vbProcedure="false">#REF!</definedName>
    <definedName function="false" hidden="false" name="사리도재료" vbProcedure="false">#REF!</definedName>
    <definedName function="false" hidden="true" name="사업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사업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사업관리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사업비" vbProcedure="false">{#N/A,#N/A,FALSE,"사업총괄";#N/A,#N/A,FALSE,"장비사업";#N/A,#N/A,FALSE,"철구사업";#N/A,#N/A,FALSE,"준설사업"}</definedName>
    <definedName function="false" hidden="false" name="사이지" vbProcedure="false">#REF!</definedName>
    <definedName function="false" hidden="false" name="사인일위" vbProcedure="false">#REF!</definedName>
    <definedName function="false" hidden="true" name="사타" vbProcedure="false">#REF!</definedName>
    <definedName function="false" hidden="false" name="산" vbProcedure="false">blankmacro1</definedName>
    <definedName function="false" hidden="false" name="산근_경_기층" vbProcedure="false">#REF!</definedName>
    <definedName function="false" hidden="false" name="산근_경_깬자갈" vbProcedure="false">#REF!</definedName>
    <definedName function="false" hidden="false" name="산근_경_노상정리" vbProcedure="false">#REF!</definedName>
    <definedName function="false" hidden="false" name="산근_경_되메우기0.4" vbProcedure="false">#REF!</definedName>
    <definedName function="false" hidden="false" name="산근_경_되메우기0.7" vbProcedure="false">#REF!</definedName>
    <definedName function="false" hidden="false" name="산근_경_라인마킹_백색" vbProcedure="false">#REF!</definedName>
    <definedName function="false" hidden="false" name="산근_경_라인마킹_황색" vbProcedure="false">#REF!</definedName>
    <definedName function="false" hidden="false" name="산근_경_모래" vbProcedure="false">#REF!</definedName>
    <definedName function="false" hidden="false" name="산근_경_보조기층" vbProcedure="false">#REF!</definedName>
    <definedName function="false" hidden="false" name="산근_경_보조기층재" vbProcedure="false">#REF!</definedName>
    <definedName function="false" hidden="false" name="산근_경_시멘트" vbProcedure="false">#REF!</definedName>
    <definedName function="false" hidden="false" name="산근_경_시멘트_구" vbProcedure="false">#REF!</definedName>
    <definedName function="false" hidden="false" name="산근_경_아스콘467" vbProcedure="false">#REF!</definedName>
    <definedName function="false" hidden="false" name="산근_경_아스콘78" vbProcedure="false">#REF!</definedName>
    <definedName function="false" hidden="false" name="산근_경_아스팔트깨기" vbProcedure="false">#REF!</definedName>
    <definedName function="false" hidden="false" name="산근_경_유제" vbProcedure="false">#REF!</definedName>
    <definedName function="false" hidden="false" name="산근_경_자연석쌓기100" vbProcedure="false">#REF!</definedName>
    <definedName function="false" hidden="false" name="산근_경_자연석쌓기180" vbProcedure="false">#REF!</definedName>
    <definedName function="false" hidden="false" name="산근_경_자연석운반" vbProcedure="false">#REF!</definedName>
    <definedName function="false" hidden="false" name="산근_경_잔재처리" vbProcedure="false">#REF!</definedName>
    <definedName function="false" hidden="false" name="산근_경_잔토처리0.7" vbProcedure="false">#REF!</definedName>
    <definedName function="false" hidden="false" name="산근_경_절토0.7" vbProcedure="false">#REF!</definedName>
    <definedName function="false" hidden="false" name="산근_경_절토19.0" vbProcedure="false">#REF!</definedName>
    <definedName function="false" hidden="false" name="산근_경_절토경암" vbProcedure="false">#REF!</definedName>
    <definedName function="false" hidden="false" name="산근_경_절토연암" vbProcedure="false">#REF!</definedName>
    <definedName function="false" hidden="false" name="산근_경_절토풍화암" vbProcedure="false">#REF!</definedName>
    <definedName function="false" hidden="false" name="산근_경_진동기" vbProcedure="false">#REF!</definedName>
    <definedName function="false" hidden="false" name="산근_경_철근" vbProcedure="false">#REF!</definedName>
    <definedName function="false" hidden="false" name="산근_경_철근_구" vbProcedure="false">#REF!</definedName>
    <definedName function="false" hidden="false" name="산근_경_콘크리트깨기" vbProcedure="false">#REF!</definedName>
    <definedName function="false" hidden="false" name="산근_경_콘크리트보조기층다짐" vbProcedure="false">#REF!</definedName>
    <definedName function="false" hidden="false" name="산근_경_택코팅" vbProcedure="false">#REF!</definedName>
    <definedName function="false" hidden="false" name="산근_경_터파기0.7" vbProcedure="false">#REF!</definedName>
    <definedName function="false" hidden="false" name="산근_경_터파기경암" vbProcedure="false">#REF!</definedName>
    <definedName function="false" hidden="false" name="산근_경_터파기연암" vbProcedure="false">#REF!</definedName>
    <definedName function="false" hidden="false" name="산근_경_터파기인력" vbProcedure="false">#REF!</definedName>
    <definedName function="false" hidden="false" name="산근_경_터파기풍화암" vbProcedure="false">#REF!</definedName>
    <definedName function="false" hidden="false" name="산근_경_표층" vbProcedure="false">#REF!</definedName>
    <definedName function="false" hidden="false" name="산근_경_프라임코팅" vbProcedure="false">#REF!</definedName>
    <definedName function="false" hidden="false" name="산근_노_기층" vbProcedure="false">#REF!</definedName>
    <definedName function="false" hidden="false" name="산근_노_깬자갈" vbProcedure="false">#REF!</definedName>
    <definedName function="false" hidden="false" name="산근_노_노상정리" vbProcedure="false">#REF!</definedName>
    <definedName function="false" hidden="false" name="산근_노_되메우기0.4" vbProcedure="false">#REF!</definedName>
    <definedName function="false" hidden="false" name="산근_노_되메우기0.7" vbProcedure="false">#REF!</definedName>
    <definedName function="false" hidden="false" name="산근_노_라인마킹_백색" vbProcedure="false">#REF!</definedName>
    <definedName function="false" hidden="false" name="산근_노_라인마킹_황색" vbProcedure="false">#REF!</definedName>
    <definedName function="false" hidden="false" name="산근_노_모래" vbProcedure="false">#REF!</definedName>
    <definedName function="false" hidden="false" name="산근_노_보조기층" vbProcedure="false">#REF!</definedName>
    <definedName function="false" hidden="false" name="산근_노_보조기층재" vbProcedure="false">#REF!</definedName>
    <definedName function="false" hidden="false" name="산근_노_시멘트" vbProcedure="false">#REF!</definedName>
    <definedName function="false" hidden="false" name="산근_노_시멘트_구" vbProcedure="false">#REF!</definedName>
    <definedName function="false" hidden="false" name="산근_노_아스콘467" vbProcedure="false">#REF!</definedName>
    <definedName function="false" hidden="false" name="산근_노_아스콘78" vbProcedure="false">#REF!</definedName>
    <definedName function="false" hidden="false" name="산근_노_아스팔트깨기" vbProcedure="false">#REF!</definedName>
    <definedName function="false" hidden="false" name="산근_노_유제" vbProcedure="false">#REF!</definedName>
    <definedName function="false" hidden="false" name="산근_노_자연석쌓기100" vbProcedure="false">#REF!</definedName>
    <definedName function="false" hidden="false" name="산근_노_자연석쌓기180" vbProcedure="false">#REF!</definedName>
    <definedName function="false" hidden="false" name="산근_노_자연석운반" vbProcedure="false">#REF!</definedName>
    <definedName function="false" hidden="false" name="산근_노_잔재처리" vbProcedure="false">#REF!</definedName>
    <definedName function="false" hidden="false" name="산근_노_잔토처리0.7" vbProcedure="false">#REF!</definedName>
    <definedName function="false" hidden="false" name="산근_노_절토0.7" vbProcedure="false">#REF!</definedName>
    <definedName function="false" hidden="false" name="산근_노_절토19.0" vbProcedure="false">#REF!</definedName>
    <definedName function="false" hidden="false" name="산근_노_절토경암" vbProcedure="false">#REF!</definedName>
    <definedName function="false" hidden="false" name="산근_노_절토연암" vbProcedure="false">#REF!</definedName>
    <definedName function="false" hidden="false" name="산근_노_절토풍화암" vbProcedure="false">#REF!</definedName>
    <definedName function="false" hidden="false" name="산근_노_진동기" vbProcedure="false">#REF!</definedName>
    <definedName function="false" hidden="false" name="산근_노_철근" vbProcedure="false">#REF!</definedName>
    <definedName function="false" hidden="false" name="산근_노_철근_구" vbProcedure="false">#REF!</definedName>
    <definedName function="false" hidden="false" name="산근_노_콘크리트깨기" vbProcedure="false">#REF!</definedName>
    <definedName function="false" hidden="false" name="산근_노_콘크리트보조기층다짐" vbProcedure="false">#REF!</definedName>
    <definedName function="false" hidden="false" name="산근_노_택코팅" vbProcedure="false">#REF!</definedName>
    <definedName function="false" hidden="false" name="산근_노_터파기0.7" vbProcedure="false">#REF!</definedName>
    <definedName function="false" hidden="false" name="산근_노_터파기경암" vbProcedure="false">#REF!</definedName>
    <definedName function="false" hidden="false" name="산근_노_터파기연암" vbProcedure="false">#REF!</definedName>
    <definedName function="false" hidden="false" name="산근_노_터파기인력" vbProcedure="false">#REF!</definedName>
    <definedName function="false" hidden="false" name="산근_노_터파기풍화암" vbProcedure="false">#REF!</definedName>
    <definedName function="false" hidden="false" name="산근_노_표층" vbProcedure="false">#REF!</definedName>
    <definedName function="false" hidden="false" name="산근_노_프라임코팅" vbProcedure="false">#REF!</definedName>
    <definedName function="false" hidden="false" name="산근_재_기층" vbProcedure="false">#REF!</definedName>
    <definedName function="false" hidden="false" name="산근_재_깬자갈" vbProcedure="false">#REF!</definedName>
    <definedName function="false" hidden="false" name="산근_재_노상정리" vbProcedure="false">#REF!</definedName>
    <definedName function="false" hidden="false" name="산근_재_되메우기0.4" vbProcedure="false">#REF!</definedName>
    <definedName function="false" hidden="false" name="산근_재_되메우기0.7" vbProcedure="false">#REF!</definedName>
    <definedName function="false" hidden="false" name="산근_재_라인마킹_백색" vbProcedure="false">#REF!</definedName>
    <definedName function="false" hidden="false" name="산근_재_라인마킹_황색" vbProcedure="false">#REF!</definedName>
    <definedName function="false" hidden="false" name="산근_재_모래" vbProcedure="false">#REF!</definedName>
    <definedName function="false" hidden="false" name="산근_재_보조기층" vbProcedure="false">#REF!</definedName>
    <definedName function="false" hidden="false" name="산근_재_보조기층재" vbProcedure="false">#REF!</definedName>
    <definedName function="false" hidden="false" name="산근_재_시멘트" vbProcedure="false">#REF!</definedName>
    <definedName function="false" hidden="false" name="산근_재_시멘트_구" vbProcedure="false">#REF!</definedName>
    <definedName function="false" hidden="false" name="산근_재_아스콘467" vbProcedure="false">#REF!</definedName>
    <definedName function="false" hidden="false" name="산근_재_아스콘78" vbProcedure="false">#REF!</definedName>
    <definedName function="false" hidden="false" name="산근_재_아스팔트깨기" vbProcedure="false">#REF!</definedName>
    <definedName function="false" hidden="false" name="산근_재_유제" vbProcedure="false">#REF!</definedName>
    <definedName function="false" hidden="false" name="산근_재_자연석쌓기100" vbProcedure="false">#REF!</definedName>
    <definedName function="false" hidden="false" name="산근_재_자연석쌓기180" vbProcedure="false">#REF!</definedName>
    <definedName function="false" hidden="false" name="산근_재_자연석운반" vbProcedure="false">#REF!</definedName>
    <definedName function="false" hidden="false" name="산근_재_잔재처리" vbProcedure="false">#REF!</definedName>
    <definedName function="false" hidden="false" name="산근_재_잔토처리0.7" vbProcedure="false">#REF!</definedName>
    <definedName function="false" hidden="false" name="산근_재_절토0.7" vbProcedure="false">#REF!</definedName>
    <definedName function="false" hidden="false" name="산근_재_절토19.0" vbProcedure="false">#REF!</definedName>
    <definedName function="false" hidden="false" name="산근_재_절토경암" vbProcedure="false">#REF!</definedName>
    <definedName function="false" hidden="false" name="산근_재_절토연암" vbProcedure="false">#REF!</definedName>
    <definedName function="false" hidden="false" name="산근_재_절토풍화암" vbProcedure="false">#REF!</definedName>
    <definedName function="false" hidden="false" name="산근_재_진동기" vbProcedure="false">#REF!</definedName>
    <definedName function="false" hidden="false" name="산근_재_철근" vbProcedure="false">#REF!</definedName>
    <definedName function="false" hidden="false" name="산근_재_철근_구" vbProcedure="false">#REF!</definedName>
    <definedName function="false" hidden="false" name="산근_재_콘크리트깨기" vbProcedure="false">#REF!</definedName>
    <definedName function="false" hidden="false" name="산근_재_콘크리트보조기층다짐" vbProcedure="false">#REF!</definedName>
    <definedName function="false" hidden="false" name="산근_재_택코팅" vbProcedure="false">#REF!</definedName>
    <definedName function="false" hidden="false" name="산근_재_터파기경암" vbProcedure="false">#REF!</definedName>
    <definedName function="false" hidden="false" name="산근_재_터파기연암" vbProcedure="false">#REF!</definedName>
    <definedName function="false" hidden="false" name="산근_재_터파기인력" vbProcedure="false">#REF!</definedName>
    <definedName function="false" hidden="false" name="산근_재_터파기풍화암" vbProcedure="false">#REF!</definedName>
    <definedName function="false" hidden="false" name="산근_재_표층" vbProcedure="false">#REF!</definedName>
    <definedName function="false" hidden="false" name="산근_재_프라임코팅" vbProcedure="false">#REF!</definedName>
    <definedName function="false" hidden="true" name="산서" vbProcedure="false">#REF!</definedName>
    <definedName function="false" hidden="false" name="산재" vbProcedure="false">#REF!</definedName>
    <definedName function="false" hidden="false" name="산재보험료" vbProcedure="false">#REF!</definedName>
    <definedName function="false" hidden="false" name="산재보험료요율" vbProcedure="false">#REF!</definedName>
    <definedName function="false" hidden="false" name="산재보험료표" vbProcedure="false">#REF!</definedName>
    <definedName function="false" hidden="false" name="산철쭉" vbProcedure="false">#REF!</definedName>
    <definedName function="false" hidden="false" name="산출경비" vbProcedure="false">#REF!</definedName>
    <definedName function="false" hidden="false" name="산출근거" vbProcedure="false">blankmacro1</definedName>
    <definedName function="false" hidden="false" name="산출내역" vbProcedure="false">#REF!</definedName>
    <definedName function="false" hidden="false" name="산출내역집계표" vbProcedure="false">#REF!</definedName>
    <definedName function="false" hidden="false" name="산출냐역" vbProcedure="false">#REF!</definedName>
    <definedName function="false" hidden="false" name="삼" vbProcedure="false">#REF!</definedName>
    <definedName function="false" hidden="false" name="삼노" vbProcedure="false">#REF!</definedName>
    <definedName function="false" hidden="true" name="삼우설비" vbProcedure="false">#REF!</definedName>
    <definedName function="false" hidden="false" name="삼재" vbProcedure="false">#REF!</definedName>
    <definedName function="false" hidden="true" name="상대" vbProcedure="false">#REF!</definedName>
    <definedName function="false" hidden="false" name="상림1호" vbProcedure="false">#REF!</definedName>
    <definedName function="false" hidden="false" name="상림2호" vbProcedure="false">#REF!</definedName>
    <definedName function="false" hidden="false" name="상림3호" vbProcedure="false">#REF!</definedName>
    <definedName function="false" hidden="true" name="상주" vbProcedure="false">{#N/A,#N/A,FALSE,"지침";#N/A,#N/A,FALSE,"환경분석";#N/A,#N/A,FALSE,"Sheet16"}</definedName>
    <definedName function="false" hidden="true" name="상주감리" vbProcedure="false">{#N/A,#N/A,FALSE,"지침";#N/A,#N/A,FALSE,"환경분석";#N/A,#N/A,FALSE,"Sheet16"}</definedName>
    <definedName function="false" hidden="true" name="새" vbProcedure="false">{"'중기작업1'!$A$1:$V$18"}</definedName>
    <definedName function="false" hidden="true" name="새2" vbProcedure="false">{"'중기작업1'!$A$1:$V$18"}</definedName>
    <definedName function="false" hidden="true" name="새공통" vbProcedure="false">{#N/A,#N/A,FALSE,"이태원철근"}</definedName>
    <definedName function="false" hidden="true" name="새이" vbProcedure="false">#REF!</definedName>
    <definedName function="false" hidden="false" name="색재2" vbProcedure="false">#REF!</definedName>
    <definedName function="false" hidden="false" name="생사1호" vbProcedure="false">#REF!</definedName>
    <definedName function="false" hidden="false" name="생사2호" vbProcedure="false">#REF!</definedName>
    <definedName function="false" hidden="false" name="생사기존" vbProcedure="false">#REF!</definedName>
    <definedName function="false" hidden="true" name="서류3" vbProcedure="false">{#N/A,"수불부",FALSE,"사급자재수불서";#N/A,"수불부",FALSE,"사급자재수불서"}</definedName>
    <definedName function="false" hidden="true" name="서류4" vbProcedure="false">{#N/A,"수불부",FALSE,"사급자재수불서";#N/A,"수불부",FALSE,"사급자재수불서"}</definedName>
    <definedName function="false" hidden="true" name="서류5" vbProcedure="false">{#N/A,"수불부",FALSE,"사급자재수불서";#N/A,"수불부",FALSE,"사급자재수불서"}</definedName>
    <definedName function="false" hidden="true" name="석" vbProcedure="false">{#N/A,#N/A,FALSE,"지침";#N/A,#N/A,FALSE,"환경분석";#N/A,#N/A,FALSE,"Sheet16"}</definedName>
    <definedName function="false" hidden="true" name="석재받은의뢰업체" vbProcedure="false">255</definedName>
    <definedName function="false" hidden="false" name="석재타일경" vbProcedure="false">#REF!</definedName>
    <definedName function="false" hidden="false" name="석재타일노" vbProcedure="false">#REF!</definedName>
    <definedName function="false" hidden="false" name="석재타일재" vbProcedure="false">#REF!</definedName>
    <definedName function="false" hidden="true" name="석항" vbProcedure="false">{#N/A,#N/A,FALSE,"명세표"}</definedName>
    <definedName function="false" hidden="false" name="선량1호" vbProcedure="false">#REF!</definedName>
    <definedName function="false" hidden="false" name="선량2호" vbProcedure="false">#REF!</definedName>
    <definedName function="false" hidden="false" name="선량3호" vbProcedure="false">#REF!</definedName>
    <definedName function="false" hidden="false" name="선량4호" vbProcedure="false">#REF!</definedName>
    <definedName function="false" hidden="false" name="선량5호" vbProcedure="false">#REF!</definedName>
    <definedName function="false" hidden="false" name="선택규격번호" vbProcedure="false">#REF!</definedName>
    <definedName function="false" hidden="false" name="선택단가번호" vbProcedure="false">#REF!</definedName>
    <definedName function="false" hidden="false" name="선택된코드" vbProcedure="false">#REF!</definedName>
    <definedName function="false" hidden="false" name="선택레코드" vbProcedure="false">#REF!</definedName>
    <definedName function="false" hidden="false" name="선택수량" vbProcedure="false">#REF!</definedName>
    <definedName function="false" hidden="false" name="선택품목번호" vbProcedure="false">#REF!</definedName>
    <definedName function="false" hidden="false" name="설" vbProcedure="false">#REF!</definedName>
    <definedName function="false" hidden="false" name="설계" vbProcedure="false">#N/A</definedName>
    <definedName function="false" hidden="false" name="설계가" vbProcedure="false">#N/A</definedName>
    <definedName function="false" hidden="false" name="설계변경내역서__1._수전설비공사" vbProcedure="false">#REF!</definedName>
    <definedName function="false" hidden="true" name="설계설명" vbProcedure="false">#REF!</definedName>
    <definedName function="false" hidden="false" name="설계속도" vbProcedure="false">#REF!</definedName>
    <definedName function="false" hidden="true" name="설변" vbProcedure="false">{#N/A,#N/A,FALSE,"월공사비집계표양식 (7)";#N/A,#N/A,FALSE,"월공사비집계표양식 (7)"}</definedName>
    <definedName function="false" hidden="true" name="설비" vbProcedure="false">{#N/A,#N/A,FALSE,"이태원철근"}</definedName>
    <definedName function="false" hidden="true" name="설비공내역" vbProcedure="false">{#N/A,#N/A,FALSE,"CCTV"}</definedName>
    <definedName function="false" hidden="true" name="설비예비품" vbProcedure="false">{#N/A,#N/A,FALSE,"전력간선"}</definedName>
    <definedName function="false" hidden="false" name="설집" vbProcedure="false">#REF!</definedName>
    <definedName function="false" hidden="true" name="성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성_문" vbProcedure="false">#REF!</definedName>
    <definedName function="false" hidden="true" name="성과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성문" vbProcedure="false">#REF!</definedName>
    <definedName function="false" hidden="false" name="성산1호" vbProcedure="false">#REF!</definedName>
    <definedName function="false" hidden="false" name="성산2호" vbProcedure="false">#REF!</definedName>
    <definedName function="false" hidden="false" name="성산3호" vbProcedure="false">#REF!</definedName>
    <definedName function="false" hidden="false" name="성산4호" vbProcedure="false">#REF!</definedName>
    <definedName function="false" hidden="false" name="성산5호" vbProcedure="false">#REF!</definedName>
    <definedName function="false" hidden="false" name="세금공과" vbProcedure="false">#REF!</definedName>
    <definedName function="false" hidden="false" name="세금과공과" vbProcedure="false">#REF!</definedName>
    <definedName function="false" hidden="false" name="소계" vbProcedure="false">#REF!</definedName>
    <definedName function="false" hidden="false" name="소나무" vbProcedure="false">#REF!</definedName>
    <definedName function="false" hidden="false" name="소모품" vbProcedure="false">#REF!</definedName>
    <definedName function="false" hidden="false" name="소모품비" vbProcedure="false">#REF!</definedName>
    <definedName function="false" hidden="true" name="소방" vbProcedure="false">{"SJ - 기본 보기",#N/A,FALSE,"공사별 외주견적"}</definedName>
    <definedName function="false" hidden="false" name="소방내역" vbProcedure="false">blankmacro1</definedName>
    <definedName function="false" hidden="false" name="소방내역서" vbProcedure="false">blankmacro1</definedName>
    <definedName function="false" hidden="false" name="소일위대가1" vbProcedure="false">#REF!</definedName>
    <definedName function="false" hidden="true" name="소화갑지" vbProcedure="false">{#N/A,#N/A,FALSE,"CCTV"}</definedName>
    <definedName function="false" hidden="false" name="송수관로구경" vbProcedure="false">#REF!</definedName>
    <definedName function="false" hidden="false" name="송천1" vbProcedure="false">#REF!</definedName>
    <definedName function="false" hidden="false" name="송천2" vbProcedure="false">#REF!</definedName>
    <definedName function="false" hidden="false" name="쇠흙손경비" vbProcedure="false">#REF!</definedName>
    <definedName function="false" hidden="false" name="쇠흙손노무비" vbProcedure="false">#REF!</definedName>
    <definedName function="false" hidden="false" name="쇠흙손재료비" vbProcedure="false">#REF!</definedName>
    <definedName function="false" hidden="false" name="수____종" vbProcedure="false">#REF!</definedName>
    <definedName function="false" hidden="true" name="수ㅠ진7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수가옥" vbProcedure="false">{#N/A,#N/A,FALSE,"속도"}</definedName>
    <definedName function="false" hidden="false" name="수경단가" vbProcedure="false">#REF!</definedName>
    <definedName function="false" hidden="false" name="수경단가1" vbProcedure="false">#REF!</definedName>
    <definedName function="false" hidden="false" name="수경일위" vbProcedure="false">#REF!</definedName>
    <definedName function="false" hidden="false" name="수도" vbProcedure="false">#REF!</definedName>
    <definedName function="false" hidden="false" name="수도광열비" vbProcedure="false">#REF!</definedName>
    <definedName function="false" hidden="false" name="수량" vbProcedure="false">#REF!</definedName>
    <definedName function="false" hidden="false" name="수량산출" vbProcedure="false">blankmacro1</definedName>
    <definedName function="false" hidden="false" name="수량산출2" vbProcedure="false">blankmacro1</definedName>
    <definedName function="false" hidden="false" name="수량산출5" vbProcedure="false">blankmacro1</definedName>
    <definedName function="false" hidden="false" name="수량산출서표지" vbProcedure="false">blankmacro1</definedName>
    <definedName function="false" hidden="false" name="수목" vbProcedure="false">#REF!</definedName>
    <definedName function="false" hidden="false" name="수목자재" vbProcedure="false">#N/A</definedName>
    <definedName function="false" hidden="false" name="수수꽃다리" vbProcedure="false">#REF!</definedName>
    <definedName function="false" hidden="false" name="수입장비" vbProcedure="false">#REF!</definedName>
    <definedName function="false" hidden="false" name="수입장비계" vbProcedure="false">#REF!</definedName>
    <definedName function="false" hidden="true" name="수장3" vbProcedure="false">{"'중기작업1'!$A$1:$V$18"}</definedName>
    <definedName function="false" hidden="true" name="수정3" vbProcedure="false">{"'중기작업1'!$A$1:$V$18"}</definedName>
    <definedName function="false" hidden="false" name="수중모타1" vbProcedure="false">#REF!</definedName>
    <definedName function="false" hidden="false" name="수중모타10" vbProcedure="false">#REF!</definedName>
    <definedName function="false" hidden="false" name="수중모타15" vbProcedure="false">#REF!</definedName>
    <definedName function="false" hidden="false" name="수중모타2" vbProcedure="false">#REF!</definedName>
    <definedName function="false" hidden="false" name="수중모타20" vbProcedure="false">#REF!</definedName>
    <definedName function="false" hidden="false" name="수중모타25" vbProcedure="false">#REF!</definedName>
    <definedName function="false" hidden="false" name="수중모타3" vbProcedure="false">#REF!</definedName>
    <definedName function="false" hidden="false" name="수중모타30" vbProcedure="false">#REF!</definedName>
    <definedName function="false" hidden="false" name="수중모타5" vbProcedure="false">#REF!</definedName>
    <definedName function="false" hidden="false" name="수중모타7.5" vbProcedure="false">#REF!</definedName>
    <definedName function="false" hidden="false" name="수중모터펌프" vbProcedure="false">#REF!</definedName>
    <definedName function="false" hidden="false" name="수중모터펌프단가" vbProcedure="false">#REF!</definedName>
    <definedName function="false" hidden="false" name="수중케이블단가" vbProcedure="false">#REF!</definedName>
    <definedName function="false" hidden="false" name="수직규준틀노무비" vbProcedure="false">#REF!</definedName>
    <definedName function="false" hidden="false" name="수직규준틀재료비" vbProcedure="false">#REF!</definedName>
    <definedName function="false" hidden="false" name="수직기준틀노무비" vbProcedure="false">#REF!</definedName>
    <definedName function="false" hidden="false" name="수직기준틀재료비" vbProcedure="false">#REF!</definedName>
    <definedName function="false" hidden="false" name="수축줄눈경비" vbProcedure="false">#REF!</definedName>
    <definedName function="false" hidden="false" name="수축줄눈노무비" vbProcedure="false">#REF!</definedName>
    <definedName function="false" hidden="false" name="수축줄눈재료비" vbProcedure="false">#REF!</definedName>
    <definedName function="false" hidden="false" name="수평규준틀노무비" vbProcedure="false">#REF!</definedName>
    <definedName function="false" hidden="false" name="수평규준틀재료비" vbProcedure="false">#REF!</definedName>
    <definedName function="false" hidden="true" name="순공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순공사비" vbProcedure="false">#REF!</definedName>
    <definedName function="false" hidden="true" name="순공사비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순천지정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false" name="숫자노무비" vbProcedure="false">#REF!</definedName>
    <definedName function="false" hidden="false" name="스트로브잣12노무" vbProcedure="false">#REF!</definedName>
    <definedName function="false" hidden="false" name="스트로브잣12재료" vbProcedure="false">#REF!</definedName>
    <definedName function="false" hidden="false" name="스트로브잣15노무" vbProcedure="false">#REF!</definedName>
    <definedName function="false" hidden="false" name="스트로브잣15재료" vbProcedure="false">#REF!</definedName>
    <definedName function="false" hidden="false" name="스트로브잣18노무" vbProcedure="false">#REF!</definedName>
    <definedName function="false" hidden="false" name="스트로브잣18재료" vbProcedure="false">#REF!</definedName>
    <definedName function="false" hidden="false" name="스트로브잣20노무" vbProcedure="false">#REF!</definedName>
    <definedName function="false" hidden="false" name="스트로브잣20재료" vbProcedure="false">#REF!</definedName>
    <definedName function="false" hidden="false" name="스트로브잣40노무" vbProcedure="false">#REF!</definedName>
    <definedName function="false" hidden="false" name="스트로브잣40재료" vbProcedure="false">#REF!</definedName>
    <definedName function="false" hidden="true" name="승" vbProcedure="false">{#N/A,#N/A,FALSE,"지침";#N/A,#N/A,FALSE,"환경분석";#N/A,#N/A,FALSE,"Sheet16"}</definedName>
    <definedName function="false" hidden="false" name="시설물수량" vbProcedure="false">#REF!</definedName>
    <definedName function="false" hidden="false" name="시설수량" vbProcedure="false">#REF!</definedName>
    <definedName function="false" hidden="false" name="시설일위" vbProcedure="false">#REF!</definedName>
    <definedName function="false" hidden="false" name="시설일위1" vbProcedure="false">#REF!</definedName>
    <definedName function="false" hidden="false" name="시점" vbProcedure="false">#REF!</definedName>
    <definedName function="false" hidden="false" name="시점명" vbProcedure="false">#REF!</definedName>
    <definedName function="false" hidden="false" name="시중노임1" vbProcedure="false">#N/A</definedName>
    <definedName function="false" hidden="true" name="시행" vbProcedure="false">{#N/A,#N/A,FALSE,"이태원철근"}</definedName>
    <definedName function="false" hidden="false" name="식재" vbProcedure="false">#REF!</definedName>
    <definedName function="false" hidden="false" name="식재단가" vbProcedure="false">#REF!</definedName>
    <definedName function="false" hidden="false" name="식재단가1" vbProcedure="false">#REF!</definedName>
    <definedName function="false" hidden="false" name="식재일위" vbProcedure="false">#REF!</definedName>
    <definedName function="false" hidden="true" name="신설" vbProcedure="false">{#N/A,#N/A,FALSE,"명세표"}</definedName>
    <definedName function="false" hidden="true" name="신성" vbProcedure="false">{#N/A,#N/A,TRUE,"손익보고"}</definedName>
    <definedName function="false" hidden="false" name="신성1" vbProcedure="false">#REF!</definedName>
    <definedName function="false" hidden="false" name="신성2" vbProcedure="false">#REF!</definedName>
    <definedName function="false" hidden="false" name="신성3" vbProcedure="false">#REF!</definedName>
    <definedName function="false" hidden="false" name="신성4" vbProcedure="false">#REF!</definedName>
    <definedName function="false" hidden="false" name="신성5" vbProcedure="false">#REF!</definedName>
    <definedName function="false" hidden="false" name="신성6" vbProcedure="false">#REF!</definedName>
    <definedName function="false" hidden="false" name="신성7" vbProcedure="false">#REF!</definedName>
    <definedName function="false" hidden="true" name="신안" vbProcedure="false">{#N/A,#N/A,FALSE,"현장 NCR 분석";#N/A,#N/A,FALSE,"현장품질감사";#N/A,#N/A,FALSE,"현장품질감사"}</definedName>
    <definedName function="false" hidden="true" name="신해섭" vbProcedure="false">{#N/A,#N/A,FALSE,"도급대비시행율";#N/A,#N/A,FALSE,"결의서";#N/A,#N/A,FALSE,"내역서";#N/A,#N/A,FALSE,"도급예상"}</definedName>
    <definedName function="false" hidden="false" name="신흥1호" vbProcedure="false">#REF!</definedName>
    <definedName function="false" hidden="false" name="신흥2호" vbProcedure="false">#REF!</definedName>
    <definedName function="false" hidden="false" name="실편백10노무" vbProcedure="false">#REF!</definedName>
    <definedName function="false" hidden="false" name="실편백10재료" vbProcedure="false">#REF!</definedName>
    <definedName function="false" hidden="false" name="실편백15노무" vbProcedure="false">#REF!</definedName>
    <definedName function="false" hidden="false" name="실편백15재료" vbProcedure="false">#REF!</definedName>
    <definedName function="false" hidden="true" name="실행내역" vbProcedure="false">{"'공사부문'!$A$6:$A$32"}</definedName>
    <definedName function="false" hidden="false" name="실행집계" vbProcedure="false">#REF!</definedName>
    <definedName function="false" hidden="false" name="아" vbProcedure="false">#REF!</definedName>
    <definedName function="false" hidden="true" name="아ㅏㅓㅗ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아ㅏㅓ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아늘믿" vbProcedure="false">blankmacro1</definedName>
    <definedName function="false" hidden="false" name="아니" vbProcedure="false">blankmacro1</definedName>
    <definedName function="false" hidden="true" name="아니오" vbProcedure="false">#REF!</definedName>
    <definedName function="false" hidden="false" name="아다" vbProcedure="false">blankmacro1</definedName>
    <definedName function="false" hidden="false" name="아디" vbProcedure="false">blankmacro1</definedName>
    <definedName function="false" hidden="true" name="아러ㅏ러" vbProcedure="false">{"'Firr(선)'!$AS$1:$AY$62","'Firr(사)'!$AS$1:$AY$62","'Firr(회)'!$AS$1:$AY$62","'Firr(선)'!$L$1:$V$62","'Firr(사)'!$L$1:$V$62","'Firr(회)'!$L$1:$V$62"}</definedName>
    <definedName function="false" hidden="true" name="아렁" vbProcedure="false">{#N/A,#N/A,FALSE,"예상손익";#N/A,#N/A,FALSE,"관리분석";#N/A,#N/A,FALSE,"장비분석";#N/A,#N/A,FALSE,"준설분석";#N/A,#N/A,FALSE,"철구분석"}</definedName>
    <definedName function="false" hidden="false" name="아서" vbProcedure="false">blankmacro1</definedName>
    <definedName function="false" hidden="false" name="아스팔트" vbProcedure="false">#REF!</definedName>
    <definedName function="false" hidden="true" name="아아" vbProcedure="false">#REF!</definedName>
    <definedName function="false" hidden="false" name="아연도강관단가" vbProcedure="false">#REF!</definedName>
    <definedName function="false" hidden="false" name="아연도배관단가" vbProcedure="false">#REF!</definedName>
    <definedName function="false" hidden="false" name="아연도배관자재" vbProcedure="false">#REF!</definedName>
    <definedName function="false" hidden="false" name="아왜나무12노무" vbProcedure="false">#REF!</definedName>
    <definedName function="false" hidden="false" name="아왜나무12재료" vbProcedure="false">#REF!</definedName>
    <definedName function="false" hidden="false" name="아우" vbProcedure="false">#REF!</definedName>
    <definedName function="false" hidden="false" name="아이시밮" vbProcedure="false">dlog_show</definedName>
    <definedName function="false" hidden="true" name="아파트내역2" vbProcedure="false">{"'Sheet1'!$A$4:$M$21","'Sheet1'!$J$17:$K$19"}</definedName>
    <definedName function="false" hidden="true" name="안경록" vbProcedure="false">{#N/A,#N/A,FALSE,"토공2"}</definedName>
    <definedName function="false" hidden="false" name="안방1호" vbProcedure="false">#REF!</definedName>
    <definedName function="false" hidden="false" name="안방2호" vbProcedure="false">#REF!</definedName>
    <definedName function="false" hidden="false" name="안이사님" vbProcedure="false">blankmacro1</definedName>
    <definedName function="false" hidden="false" name="안전" vbProcedure="false">#REF!</definedName>
    <definedName function="false" hidden="false" name="안전관리비" vbProcedure="false">#REF!</definedName>
    <definedName function="false" hidden="false" name="안전관리비요율" vbProcedure="false">#REF!</definedName>
    <definedName function="false" hidden="false" name="안전관리비표" vbProcedure="false">#REF!</definedName>
    <definedName function="false" hidden="false" name="안정수위" vbProcedure="false">#REF!</definedName>
    <definedName function="false" hidden="true" name="암거재료집계" vbProcedure="false">{"'중기작업1'!$A$1:$V$18"}</definedName>
    <definedName function="false" hidden="false" name="압상파이프" vbProcedure="false">#REF!</definedName>
    <definedName function="false" hidden="false" name="앞들1호" vbProcedure="false">#REF!</definedName>
    <definedName function="false" hidden="false" name="앞들2호" vbProcedure="false">#REF!</definedName>
    <definedName function="false" hidden="true" name="애" vbProcedure="false">#REF!</definedName>
    <definedName function="false" hidden="false" name="앵커볼트" vbProcedure="false">#REF!</definedName>
    <definedName function="false" hidden="true" name="야간" vbProcedure="false">{#N/A,#N/A,FALSE,"지침";#N/A,#N/A,FALSE,"환경분석";#N/A,#N/A,FALSE,"Sheet16"}</definedName>
    <definedName function="false" hidden="true" name="양기용" vbProcedure="false">{#N/A,#N/A,FALSE,"월공사비집계표양식 (7)";#N/A,#N/A,FALSE,"월공사비집계표양식 (7)"}</definedName>
    <definedName function="false" hidden="false" name="양생경비" vbProcedure="false">#REF!</definedName>
    <definedName function="false" hidden="false" name="양생노무비" vbProcedure="false">#REF!</definedName>
    <definedName function="false" hidden="false" name="양생재료비" vbProcedure="false">#REF!</definedName>
    <definedName function="false" hidden="false" name="양수량" vbProcedure="false">#REF!</definedName>
    <definedName function="false" hidden="false" name="양수시험" vbProcedure="false">#REF!</definedName>
    <definedName function="false" hidden="true" name="어ㅓㅓ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어ㅘ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어랑너ㅣㄹㄴㅇ" vbProcedure="false">{#N/A,"수불부",FALSE,"사급자재수불서";#N/A,"수불부",FALSE,"사급자재수불서"}</definedName>
    <definedName function="false" hidden="true" name="어름" vbProcedure="false">#REF!</definedName>
    <definedName function="false" hidden="false" name="어멈" vbProcedure="false">blankmacro1</definedName>
    <definedName function="false" hidden="false" name="어쩌라구" vbProcedure="false">blankmacro1</definedName>
    <definedName function="false" hidden="true" name="억이상" vbProcedure="false">{#N/A,#N/A,FALSE,"2~8번"}</definedName>
    <definedName function="false" hidden="true" name="언" vbProcedure="false">#REF!</definedName>
    <definedName function="false" hidden="true" name="업" vbProcedure="false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function="false" hidden="true" name="업체" vbProcedure="false">#REF!</definedName>
    <definedName function="false" hidden="true" name="업체형틀" vbProcedure="false">{#N/A,#N/A,FALSE,"월공사비집계표양식 (7)";#N/A,#N/A,FALSE,"월공사비집계표양식 (7)"}</definedName>
    <definedName function="false" hidden="false" name="엊" vbProcedure="false">blankmacro1</definedName>
    <definedName function="false" hidden="false" name="여비교통" vbProcedure="false">#REF!</definedName>
    <definedName function="false" hidden="false" name="여비교통비" vbProcedure="false">#REF!</definedName>
    <definedName function="false" hidden="true" name="연습" vbProcedure="false">{#N/A,#N/A,TRUE,"총괄"}</definedName>
    <definedName function="false" hidden="true" name="염색기술3" vbProcedure="false">{#N/A,#N/A,TRUE,"손익보고"}</definedName>
    <definedName function="false" hidden="false" name="영산홍" vbProcedure="false">#REF!</definedName>
    <definedName function="false" hidden="true" name="영상hw집계" vbProcedure="false">{"'용역비'!$A$4:$C$8"}</definedName>
    <definedName function="false" hidden="true" name="영원무역" vbProcedure="false">{#N/A,#N/A,TRUE,"총괄"}</definedName>
    <definedName function="false" hidden="true" name="예산" vbProcedure="false">{#N/A,#N/A,TRUE,"손익보고"}</definedName>
    <definedName function="false" hidden="true" name="예산서1" vbProcedure="false">#REF!</definedName>
    <definedName function="false" hidden="false" name="오라1" vbProcedure="false">#REF!</definedName>
    <definedName function="false" hidden="false" name="오주1호" vbProcedure="false">#REF!</definedName>
    <definedName function="false" hidden="false" name="오주2호" vbProcedure="false">#REF!</definedName>
    <definedName function="false" hidden="false" name="오주3호" vbProcedure="false">#REF!</definedName>
    <definedName function="false" hidden="false" name="오주4호" vbProcedure="false">#REF!</definedName>
    <definedName function="false" hidden="true" name="옥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옥외대비" vbProcedure="false">{#N/A,#N/A,FALSE,"이태원철근"}</definedName>
    <definedName function="false" hidden="false" name="올ㅇ" vbProcedure="false">#REF!</definedName>
    <definedName function="false" hidden="false" name="왕벚나무" vbProcedure="false">#REF!</definedName>
    <definedName function="false" hidden="false" name="왕암내역" vbProcedure="false">#REF!</definedName>
    <definedName function="false" hidden="false" name="왜성도라지" vbProcedure="false">#REF!</definedName>
    <definedName function="false" hidden="false" name="요동1호" vbProcedure="false">#REF!</definedName>
    <definedName function="false" hidden="false" name="요동2호" vbProcedure="false">#REF!</definedName>
    <definedName function="false" hidden="false" name="요율" vbProcedure="false">#REF!</definedName>
    <definedName function="false" hidden="false" name="요율인쇄" vbProcedure="false">#REF!</definedName>
    <definedName function="false" hidden="false" name="용도" vbProcedure="false">#REF!</definedName>
    <definedName function="false" hidden="false" name="용접200경비" vbProcedure="false">#REF!</definedName>
    <definedName function="false" hidden="false" name="용접300경비" vbProcedure="false">#REF!</definedName>
    <definedName function="false" hidden="false" name="우물보호실" vbProcedure="false">#REF!</definedName>
    <definedName function="false" hidden="false" name="우물자재규격" vbProcedure="false">#REF!</definedName>
    <definedName function="false" hidden="false" name="우산" vbProcedure="false">#REF!</definedName>
    <definedName function="false" hidden="true" name="우운희" vbProcedure="false">{#N/A,#N/A,FALSE,"Sheet1"}</definedName>
    <definedName function="false" hidden="false" name="우출" vbProcedure="false">blankmacro1</definedName>
    <definedName function="false" hidden="false" name="운반" vbProcedure="false">#REF!</definedName>
    <definedName function="false" hidden="false" name="운반비" vbProcedure="false">#REF!</definedName>
    <definedName function="false" hidden="false" name="운반산출" vbProcedure="false">#REF!</definedName>
    <definedName function="false" hidden="false" name="운암" vbProcedure="false">#REF!</definedName>
    <definedName function="false" hidden="true" name="운영비" vbProcedure="false">{#N/A,#N/A,FALSE,"단가표지"}</definedName>
    <definedName function="false" hidden="false" name="운전사" vbProcedure="false">#REF!</definedName>
    <definedName function="false" hidden="false" name="운호1호" vbProcedure="false">#REF!</definedName>
    <definedName function="false" hidden="false" name="운호2호" vbProcedure="false">#REF!</definedName>
    <definedName function="false" hidden="false" name="운호3호" vbProcedure="false">#REF!</definedName>
    <definedName function="false" hidden="false" name="울산프랜지" vbProcedure="false">#REF!</definedName>
    <definedName function="false" hidden="false" name="원가" vbProcedure="false">#REF!</definedName>
    <definedName function="false" hidden="true" name="원가2안" vbProcedure="false">{#N/A,#N/A,FALSE,"운반시간"}</definedName>
    <definedName function="false" hidden="true" name="원가계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원가계산19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원가계산명" vbProcedure="false">#REF!</definedName>
    <definedName function="false" hidden="false" name="원가계산서" vbProcedure="false">#REF!</definedName>
    <definedName function="false" hidden="true" name="원각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원기기ㅣ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원운1호" vbProcedure="false">#REF!</definedName>
    <definedName function="false" hidden="false" name="원운2호" vbProcedure="false">#REF!</definedName>
    <definedName function="false" hidden="false" name="원지반다짐" vbProcedure="false">#REF!</definedName>
    <definedName function="false" hidden="false" name="원파고라노" vbProcedure="false">#REF!</definedName>
    <definedName function="false" hidden="false" name="원파고라재" vbProcedure="false">#REF!</definedName>
    <definedName function="false" hidden="true" name="월드건설" vbProcedure="false">{#N/A,#N/A,FALSE,"이태원철근"}</definedName>
    <definedName function="false" hidden="true" name="월별투입" vbProcedure="false">{#N/A,#N/A,FALSE,"지침";#N/A,#N/A,FALSE,"환경분석";#N/A,#N/A,FALSE,"Sheet16"}</definedName>
    <definedName function="false" hidden="false" name="위치" vbProcedure="false">#N/A</definedName>
    <definedName function="false" hidden="true" name="유" vbProcedure="false">{#N/A,#N/A,FALSE,"월공사비집계표양식 (7)";#N/A,#N/A,FALSE,"월공사비집계표양식 (7)"}</definedName>
    <definedName function="false" hidden="true" name="유문" vbProcedure="false">{#N/A,#N/A,FALSE,"월공사비집계표양식 (7)";#N/A,#N/A,FALSE,"월공사비집계표양식 (7)"}</definedName>
    <definedName function="false" hidden="true" name="유지관리비" vbProcedure="false">#REF!</definedName>
    <definedName function="false" hidden="false" name="육리1호" vbProcedure="false">#REF!</definedName>
    <definedName function="false" hidden="false" name="육리2호" vbProcedure="false">#REF!</definedName>
    <definedName function="false" hidden="true" name="으치" vbProcedure="false">#REF!</definedName>
    <definedName function="false" hidden="false" name="은산1호" vbProcedure="false">#REF!</definedName>
    <definedName function="false" hidden="false" name="은산2호" vbProcedure="false">#REF!</definedName>
    <definedName function="false" hidden="false" name="은산3호" vbProcedure="false">#REF!</definedName>
    <definedName function="false" hidden="false" name="은산4호" vbProcedure="false">#REF!</definedName>
    <definedName function="false" hidden="false" name="은행나무" vbProcedure="false">#REF!</definedName>
    <definedName function="false" hidden="true" name="의" vbProcedure="false">{#N/A,#N/A,FALSE,"운반시간"}</definedName>
    <definedName function="false" hidden="false" name="이" vbProcedure="false">#REF!</definedName>
    <definedName function="false" hidden="false" name="이각지주목" vbProcedure="false">#REF!</definedName>
    <definedName function="false" hidden="true" name="이강" vbProcedure="false">{#N/A,#N/A,FALSE,"월공사비집계표양식 (7)";#N/A,#N/A,FALSE,"월공사비집계표양식 (7)"}</definedName>
    <definedName function="false" hidden="true" name="이강환" vbProcedure="false">{#N/A,#N/A,FALSE,"월공사비집계표양식 (7)";#N/A,#N/A,FALSE,"월공사비집계표양식 (7)"}</definedName>
    <definedName function="false" hidden="false" name="이공구가설비" vbProcedure="false">#REF!</definedName>
    <definedName function="false" hidden="false" name="이공구간접노무비" vbProcedure="false">#REF!</definedName>
    <definedName function="false" hidden="false" name="이공구공사원가" vbProcedure="false">#REF!</definedName>
    <definedName function="false" hidden="false" name="이공구기타경비" vbProcedure="false">#REF!</definedName>
    <definedName function="false" hidden="false" name="이공구부가가치세" vbProcedure="false">#REF!</definedName>
    <definedName function="false" hidden="false" name="이공구산재보험료" vbProcedure="false">#REF!</definedName>
    <definedName function="false" hidden="false" name="이공구안전관리비" vbProcedure="false">#REF!</definedName>
    <definedName function="false" hidden="false" name="이공구이윤" vbProcedure="false">#REF!</definedName>
    <definedName function="false" hidden="false" name="이공구일반관리비" vbProcedure="false">#REF!</definedName>
    <definedName function="false" hidden="true" name="이광훈11" vbProcedure="false">{#N/A,#N/A,FALSE,"명세표"}</definedName>
    <definedName function="false" hidden="true" name="이광훈15" vbProcedure="false">{#N/A,#N/A,FALSE,"명세표"}</definedName>
    <definedName function="false" hidden="true" name="이광훈16" vbProcedure="false">{#N/A,#N/A,FALSE,"명세표"}</definedName>
    <definedName function="false" hidden="true" name="이광훈17" vbProcedure="false">{#N/A,#N/A,FALSE,"명세표"}</definedName>
    <definedName function="false" hidden="true" name="이광훈18" vbProcedure="false">{#N/A,#N/A,FALSE,"명세표"}</definedName>
    <definedName function="false" hidden="true" name="이광훈2" vbProcedure="false">{#N/A,#N/A,FALSE,"명세표"}</definedName>
    <definedName function="false" hidden="true" name="이광훈20" vbProcedure="false">{#N/A,#N/A,FALSE,"명세표"}</definedName>
    <definedName function="false" hidden="true" name="이광훈21" vbProcedure="false">{#N/A,#N/A,FALSE,"명세표"}</definedName>
    <definedName function="false" hidden="true" name="이광훈22" vbProcedure="false">{#N/A,#N/A,FALSE,"명세표"}</definedName>
    <definedName function="false" hidden="true" name="이광훈23" vbProcedure="false">{#N/A,#N/A,FALSE,"명세표"}</definedName>
    <definedName function="false" hidden="true" name="이광훈24" vbProcedure="false">{#N/A,#N/A,FALSE,"명세표"}</definedName>
    <definedName function="false" hidden="true" name="이광훈4" vbProcedure="false">{#N/A,#N/A,FALSE,"명세표"}</definedName>
    <definedName function="false" hidden="true" name="이광훈6" vbProcedure="false">{#N/A,#N/A,FALSE,"명세표"}</definedName>
    <definedName function="false" hidden="true" name="이광훈7" vbProcedure="false">{#N/A,#N/A,FALSE,"명세표"}</definedName>
    <definedName function="false" hidden="true" name="이광훈8" vbProcedure="false">{#N/A,#N/A,FALSE,"명세표"}</definedName>
    <definedName function="false" hidden="true" name="이광훈9" vbProcedure="false">{#N/A,#N/A,FALSE,"명세표"}</definedName>
    <definedName function="false" hidden="false" name="이노" vbProcedure="false">#REF!</definedName>
    <definedName function="false" hidden="true" name="이름표" vbProcedure="false">{#N/A,#N/A,FALSE,"단가표지"}</definedName>
    <definedName function="false" hidden="true" name="이릉" vbProcedure="false">#REF!</definedName>
    <definedName function="false" hidden="true" name="이미리" vbProcedure="false">#REF!</definedName>
    <definedName function="false" hidden="false" name="이상" vbProcedure="false">#REF!</definedName>
    <definedName function="false" hidden="false" name="이식" vbProcedure="false">#REF!</definedName>
    <definedName function="false" hidden="false" name="이식단가" vbProcedure="false">#REF!</definedName>
    <definedName function="false" hidden="false" name="이식단가1" vbProcedure="false">#REF!</definedName>
    <definedName function="false" hidden="false" name="이식일위" vbProcedure="false">#REF!</definedName>
    <definedName function="false" hidden="false" name="이윤요율" vbProcedure="false">#REF!</definedName>
    <definedName function="false" hidden="false" name="이윤표" vbProcedure="false">#REF!</definedName>
    <definedName function="false" hidden="true" name="이이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이재" vbProcedure="false">#REF!</definedName>
    <definedName function="false" hidden="true" name="이정" vbProcedure="false">{#N/A,#N/A,FALSE,"2~8번"}</definedName>
    <definedName function="false" hidden="true" name="이천순복음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이철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인공" vbProcedure="false">#REF!</definedName>
    <definedName function="false" hidden="false" name="인동덩쿨" vbProcedure="false">#REF!</definedName>
    <definedName function="false" hidden="true" name="인력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인력기계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인력품" vbProcedure="false">#REF!</definedName>
    <definedName function="false" hidden="false" name="인상익" vbProcedure="false">blankmacro1</definedName>
    <definedName function="false" hidden="false" name="인원" vbProcedure="false">#REF!</definedName>
    <definedName function="false" hidden="false" name="인입공사비" vbProcedure="false">#REF!</definedName>
    <definedName function="false" hidden="true" name="인천지검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일.관" vbProcedure="false">#REF!</definedName>
    <definedName function="false" hidden="false" name="일공구가설" vbProcedure="false">#REF!</definedName>
    <definedName function="false" hidden="false" name="일공구직영비" vbProcedure="false">#REF!</definedName>
    <definedName function="false" hidden="false" name="일대1" vbProcedure="false">#REF!</definedName>
    <definedName function="false" hidden="false" name="일반관리" vbProcedure="false">#REF!</definedName>
    <definedName function="false" hidden="false" name="일반관리비" vbProcedure="false">#REF!</definedName>
    <definedName function="false" hidden="false" name="일반관리비요율" vbProcedure="false">#REF!</definedName>
    <definedName function="false" hidden="false" name="일반관리비표" vbProcedure="false">#REF!</definedName>
    <definedName function="false" hidden="true" name="일반부" vbProcedure="false">{#N/A,#N/A,FALSE,"조골재"}</definedName>
    <definedName function="false" hidden="false" name="일위" vbProcedure="false">#REF!,#REF!</definedName>
    <definedName function="false" hidden="false" name="일위1" vbProcedure="false">#REF!</definedName>
    <definedName function="false" hidden="false" name="일위대가표" vbProcedure="false">#REF!</definedName>
    <definedName function="false" hidden="false" name="일위수량" vbProcedure="false">#REF!</definedName>
    <definedName function="false" hidden="true" name="임직" vbProcedure="false">#REF!</definedName>
    <definedName function="false" hidden="false" name="입력란" vbProcedure="false">#REF!</definedName>
    <definedName function="false" hidden="false" name="입력범위" vbProcedure="false">#REF!</definedName>
    <definedName function="false" hidden="false" name="입력선택" vbProcedure="false">#REF!</definedName>
    <definedName function="false" hidden="false" name="입력전체" vbProcedure="false">#REF!</definedName>
    <definedName function="false" hidden="false" name="입안1호" vbProcedure="false">#REF!</definedName>
    <definedName function="false" hidden="false" name="입안2호" vbProcedure="false">#REF!</definedName>
    <definedName function="false" hidden="false" name="입안3호" vbProcedure="false">#REF!</definedName>
    <definedName function="false" hidden="false" name="입안4호" vbProcedure="false">#REF!</definedName>
    <definedName function="false" hidden="false" name="입안기존2" vbProcedure="false">#REF!</definedName>
    <definedName function="false" hidden="false" name="입찰내역" vbProcedure="false">#REF!</definedName>
    <definedName function="false" hidden="false" name="자" vbProcedure="false">blankmacro1</definedName>
    <definedName function="false" hidden="false" name="자귀나무" vbProcedure="false">#REF!</definedName>
    <definedName function="false" hidden="true" name="자금수지" vbProcedure="false">#REF!</definedName>
    <definedName function="false" hidden="false" name="자동제어1차공량산출" vbProcedure="false">blankmacro1</definedName>
    <definedName function="false" hidden="true" name="자미" vbProcedure="false">{#N/A,#N/A,FALSE,"명세표"}</definedName>
    <definedName function="false" hidden="false" name="자연수위" vbProcedure="false">#REF!</definedName>
    <definedName function="false" hidden="false" name="자장" vbProcedure="false">blankmacro1</definedName>
    <definedName function="false" hidden="false" name="자재" vbProcedure="false">#REF!</definedName>
    <definedName function="false" hidden="true" name="자재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name="자재단가" vbProcedure="false">#REF!</definedName>
    <definedName function="false" hidden="true" name="자재단가근거" vbProcedure="false">#REF!</definedName>
    <definedName function="false" hidden="false" name="자재집계5" vbProcedure="false">blankmacro1</definedName>
    <definedName function="false" hidden="false" name="잔디5경" vbProcedure="false">#REF!</definedName>
    <definedName function="false" hidden="false" name="잔디5노무" vbProcedure="false">#REF!</definedName>
    <definedName function="false" hidden="false" name="잔디5재료" vbProcedure="false">#REF!</definedName>
    <definedName function="false" hidden="false" name="잔디_평떼" vbProcedure="false">#REF!</definedName>
    <definedName function="false" hidden="false" name="잔자갈노" vbProcedure="false">#REF!</definedName>
    <definedName function="false" hidden="false" name="잔자갈재" vbProcedure="false">#REF!</definedName>
    <definedName function="false" hidden="false" name="잔토" vbProcedure="false">#REF!</definedName>
    <definedName function="false" hidden="false" name="잡석노" vbProcedure="false">#REF!</definedName>
    <definedName function="false" hidden="false" name="잡석재" vbProcedure="false">#REF!</definedName>
    <definedName function="false" hidden="false" name="잣나무" vbProcedure="false">#REF!</definedName>
    <definedName function="false" hidden="false" name="잣나무10노무" vbProcedure="false">#REF!</definedName>
    <definedName function="false" hidden="false" name="잣나무10재료" vbProcedure="false">#REF!</definedName>
    <definedName function="false" hidden="false" name="잣나무15노무" vbProcedure="false">#REF!</definedName>
    <definedName function="false" hidden="false" name="잣나무15재료" vbProcedure="false">#REF!</definedName>
    <definedName function="false" hidden="false" name="잣나무18노무" vbProcedure="false">#REF!</definedName>
    <definedName function="false" hidden="false" name="잣나무18재료" vbProcedure="false">#REF!</definedName>
    <definedName function="false" hidden="false" name="잣나무20노무" vbProcedure="false">#REF!</definedName>
    <definedName function="false" hidden="false" name="잣나무20재료" vbProcedure="false">#REF!</definedName>
    <definedName function="false" hidden="false" name="잣나무22노무" vbProcedure="false">#REF!</definedName>
    <definedName function="false" hidden="false" name="잣나무22재료" vbProcedure="false">#REF!</definedName>
    <definedName function="false" hidden="false" name="장" vbProcedure="false">blankmacro1</definedName>
    <definedName function="false" hidden="false" name="장비부표" vbProcedure="false">#REF!</definedName>
    <definedName function="false" hidden="false" name="장산1" vbProcedure="false">#REF!</definedName>
    <definedName function="false" hidden="false" name="장산2" vbProcedure="false">#REF!</definedName>
    <definedName function="false" hidden="false" name="장산3" vbProcedure="false">#REF!</definedName>
    <definedName function="false" hidden="true" name="장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장종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장춘" vbProcedure="false">#REF!</definedName>
    <definedName function="false" hidden="false" name="재" vbProcedure="false">#REF!</definedName>
    <definedName function="false" hidden="false" name="재_간단" vbProcedure="false">#REF!</definedName>
    <definedName function="false" hidden="false" name="재_강관비계12개월" vbProcedure="false">#REF!</definedName>
    <definedName function="false" hidden="false" name="재_강관비계3개월" vbProcedure="false">#REF!</definedName>
    <definedName function="false" hidden="false" name="재_강관비계6개월" vbProcedure="false">#REF!</definedName>
    <definedName function="false" hidden="false" name="재_거푸집1회" vbProcedure="false">#REF!</definedName>
    <definedName function="false" hidden="false" name="재_거푸집3회" vbProcedure="false">#REF!</definedName>
    <definedName function="false" hidden="false" name="재_거푸집4회" vbProcedure="false">#REF!</definedName>
    <definedName function="false" hidden="false" name="재_거푸집6회" vbProcedure="false">#REF!</definedName>
    <definedName function="false" hidden="false" name="재_모르터2" vbProcedure="false">#REF!</definedName>
    <definedName function="false" hidden="false" name="재_모르터3" vbProcedure="false">#REF!</definedName>
    <definedName function="false" hidden="false" name="재_무근40_08" vbProcedure="false">#REF!</definedName>
    <definedName function="false" hidden="false" name="재_무근40_12" vbProcedure="false">#REF!</definedName>
    <definedName function="false" hidden="false" name="재_문양거푸집" vbProcedure="false">#REF!</definedName>
    <definedName function="false" hidden="false" name="재_보통" vbProcedure="false">#REF!</definedName>
    <definedName function="false" hidden="false" name="재_복잡" vbProcedure="false">#REF!</definedName>
    <definedName function="false" hidden="false" name="재_소형25_12" vbProcedure="false">#REF!</definedName>
    <definedName function="false" hidden="false" name="재_소형40_08" vbProcedure="false">#REF!</definedName>
    <definedName function="false" hidden="false" name="재_소형40_12" vbProcedure="false">#REF!</definedName>
    <definedName function="false" hidden="false" name="재_아스콘기층" vbProcedure="false">#REF!</definedName>
    <definedName function="false" hidden="false" name="재_아스콘표층" vbProcedure="false">#REF!</definedName>
    <definedName function="false" hidden="false" name="재_철근25_12" vbProcedure="false">#REF!</definedName>
    <definedName function="false" hidden="false" name="재_철근40_08" vbProcedure="false">#REF!</definedName>
    <definedName function="false" hidden="false" name="재_철근40_12" vbProcedure="false">#REF!</definedName>
    <definedName function="false" hidden="false" name="재_콘크리트" vbProcedure="false">#REF!</definedName>
    <definedName function="false" hidden="false" name="재_택코팅" vbProcedure="false">#REF!</definedName>
    <definedName function="false" hidden="false" name="재_프라임코팅" vbProcedure="false">#REF!</definedName>
    <definedName function="false" hidden="false" name="재료마감표" vbProcedure="false">#REF!</definedName>
    <definedName function="false" hidden="false" name="재료비" vbProcedure="false">#REF!</definedName>
    <definedName function="false" hidden="false" name="재료비요율" vbProcedure="false">#REF!</definedName>
    <definedName function="false" hidden="false" name="저수조만수위" vbProcedure="false">#REF!</definedName>
    <definedName function="false" hidden="false" name="적용대가산출표" vbProcedure="false">#REF!</definedName>
    <definedName function="false" hidden="false" name="전기" vbProcedure="false">#N/A</definedName>
    <definedName function="false" hidden="true" name="전기내역" vbProcedure="false">{#N/A,#N/A,FALSE,"CCTV"}</definedName>
    <definedName function="false" hidden="true" name="전기특기조건" vbProcedure="false">{#N/A,#N/A,FALSE,"현장 NCR 분석";#N/A,#N/A,FALSE,"현장품질감사";#N/A,#N/A,FALSE,"현장품질감사"}</definedName>
    <definedName function="false" hidden="false" name="전동기용량" vbProcedure="false">#REF!</definedName>
    <definedName function="false" hidden="true" name="전등설비" vbProcedure="false">{#N/A,#N/A,FALSE,"CCTV"}</definedName>
    <definedName function="false" hidden="false" name="전력" vbProcedure="false">#REF!</definedName>
    <definedName function="false" hidden="true" name="전선관및접지내역서" vbProcedure="false">#REF!</definedName>
    <definedName function="false" hidden="false" name="절단경비" vbProcedure="false">#REF!</definedName>
    <definedName function="false" hidden="false" name="절단노무비" vbProcedure="false">#REF!</definedName>
    <definedName function="false" hidden="false" name="절단재료비" vbProcedure="false">#REF!</definedName>
    <definedName function="false" hidden="false" name="절취" vbProcedure="false">#REF!</definedName>
    <definedName function="false" hidden="false" name="점수표" vbProcedure="false">#REF!</definedName>
    <definedName function="false" hidden="false" name="점토노" vbProcedure="false">#REF!</definedName>
    <definedName function="false" hidden="false" name="점토재" vbProcedure="false">#REF!</definedName>
    <definedName function="false" hidden="false" name="정" vbProcedure="false">blankmacro1</definedName>
    <definedName function="false" hidden="true" name="정산표" vbProcedure="false">{#N/A,#N/A,FALSE,"현장 NCR 분석";#N/A,#N/A,FALSE,"현장품질감사";#N/A,#N/A,FALSE,"현장품질감사"}</definedName>
    <definedName function="false" hidden="false" name="정열범위" vbProcedure="false">#REF!</definedName>
    <definedName function="false" hidden="false" name="제5호표" vbProcedure="false">#REF!</definedName>
    <definedName function="false" hidden="false" name="제경비율" vbProcedure="false">#REF!</definedName>
    <definedName function="false" hidden="true" name="제수문" vbProcedure="false">#REF!</definedName>
    <definedName function="false" hidden="false" name="제잡비" vbProcedure="false">#REF!</definedName>
    <definedName function="false" hidden="true" name="제조3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제출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조달예가" vbProcedure="false">#REF!</definedName>
    <definedName function="false" hidden="false" name="조수" vbProcedure="false">#REF!</definedName>
    <definedName function="false" hidden="false" name="조장" vbProcedure="false">#REF!</definedName>
    <definedName function="false" hidden="false" name="조적공" vbProcedure="false">#REF!</definedName>
    <definedName function="false" hidden="true" name="조차장" vbProcedure="false">{#N/A,#N/A,FALSE,"명세표"}</definedName>
    <definedName function="false" hidden="true" name="조찬" vbProcedure="false">#REF!</definedName>
    <definedName function="false" hidden="false" name="조합노" vbProcedure="false">#REF!</definedName>
    <definedName function="false" hidden="false" name="조합재" vbProcedure="false">#REF!</definedName>
    <definedName function="false" hidden="false" name="종목수" vbProcedure="false">#REF!</definedName>
    <definedName function="false" hidden="true" name="종합청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주7" vbProcedure="false">{#N/A,#N/A,FALSE,"부대1"}</definedName>
    <definedName function="false" hidden="false" name="주목" vbProcedure="false">#REF!</definedName>
    <definedName function="false" hidden="false" name="주목1.0노무" vbProcedure="false">#REF!</definedName>
    <definedName function="false" hidden="false" name="주목1.0재료" vbProcedure="false">#REF!</definedName>
    <definedName function="false" hidden="false" name="주목10노무" vbProcedure="false">#REF!</definedName>
    <definedName function="false" hidden="false" name="주목10재료" vbProcedure="false">#REF!</definedName>
    <definedName function="false" hidden="false" name="주목12노무" vbProcedure="false">#REF!</definedName>
    <definedName function="false" hidden="false" name="주목12재료" vbProcedure="false">#REF!</definedName>
    <definedName function="false" hidden="true" name="주요견적조건" vbProcedure="false">{#N/A,#N/A,FALSE,"사업총괄";#N/A,#N/A,FALSE,"장비사업";#N/A,#N/A,FALSE,"철구사업";#N/A,#N/A,FALSE,"준설사업"}</definedName>
    <definedName function="false" hidden="false" name="주주노" vbProcedure="false">#REF!</definedName>
    <definedName function="false" hidden="false" name="주주재" vbProcedure="false">#REF!</definedName>
    <definedName function="false" hidden="false" name="줄사철" vbProcedure="false">#REF!</definedName>
    <definedName function="false" hidden="false" name="중기기사" vbProcedure="false">#REF!</definedName>
    <definedName function="false" hidden="false" name="중기목록" vbProcedure="false">#REF!</definedName>
    <definedName function="false" hidden="false" name="중대가시설2" vbProcedure="false">#N/A</definedName>
    <definedName function="false" hidden="false" name="중량" vbProcedure="false">#REF!</definedName>
    <definedName function="false" hidden="true" name="중량산출" vbProcedure="false">{#N/A,#N/A,FALSE,"Sheet1"}</definedName>
    <definedName function="false" hidden="false" name="중량표" vbProcedure="false">#REF!</definedName>
    <definedName function="false" hidden="true" name="증감내역" vbProcedure="false">#REF!</definedName>
    <definedName function="false" hidden="false" name="지" vbProcedure="false">#REF!</definedName>
    <definedName function="false" hidden="false" name="지급수수" vbProcedure="false">#REF!</definedName>
    <definedName function="false" hidden="false" name="지급수수료" vbProcedure="false">#REF!</definedName>
    <definedName function="false" hidden="false" name="지동" vbProcedure="false">#REF!</definedName>
    <definedName function="false" hidden="false" name="지산최초" vbProcedure="false">#REF!</definedName>
    <definedName function="false" hidden="false" name="지역" vbProcedure="false">#N/A</definedName>
    <definedName function="false" hidden="true" name="지움" vbProcedure="false">{#N/A,#N/A,FALSE,"속도"}</definedName>
    <definedName function="false" hidden="true" name="지움2" vbProcedure="false">{#N/A,#N/A,FALSE,"토공2"}</definedName>
    <definedName function="false" hidden="true" name="지움3" vbProcedure="false">{#N/A,#N/A,FALSE,"표지목차"}</definedName>
    <definedName function="false" hidden="false" name="지주" vbProcedure="false">#N/A</definedName>
    <definedName function="false" hidden="false" name="직노" vbProcedure="false">#REF!</definedName>
    <definedName function="false" hidden="true" name="직매54P" vbProcedure="false">{#N/A,#N/A,TRUE,"토적및재료집계";#N/A,#N/A,TRUE,"토적및재료집계";#N/A,#N/A,TRUE,"단위량"}</definedName>
    <definedName function="false" hidden="false" name="직영비" vbProcedure="false">#REF!</definedName>
    <definedName function="false" hidden="false" name="직접노무비" vbProcedure="false">#REF!</definedName>
    <definedName function="false" hidden="false" name="직접노무비요율" vbProcedure="false">#REF!</definedName>
    <definedName function="false" hidden="false" name="직접노물비" vbProcedure="false">#REF!</definedName>
    <definedName function="false" hidden="false" name="직접재료비" vbProcedure="false">#REF!</definedName>
    <definedName function="false" hidden="false" name="직접재료비합" vbProcedure="false">#REF!</definedName>
    <definedName function="false" hidden="false" name="직종" vbProcedure="false">#REF!</definedName>
    <definedName function="false" hidden="false" name="직종명" vbProcedure="false">#REF!</definedName>
    <definedName function="false" hidden="false" name="진" vbProcedure="false">#REF!</definedName>
    <definedName function="false" hidden="false" name="진동롤라경" vbProcedure="false">#REF!</definedName>
    <definedName function="false" hidden="false" name="진동롤라노무" vbProcedure="false">#REF!</definedName>
    <definedName function="false" hidden="false" name="진동롤라재료" vbProcedure="false">#REF!</definedName>
    <definedName function="false" hidden="false" name="집" vbProcedure="false">#N/A</definedName>
    <definedName function="false" hidden="false" name="집계" vbProcedure="false">#REF!</definedName>
    <definedName function="false" hidden="false" name="집계1" vbProcedure="false">#REF!</definedName>
    <definedName function="false" hidden="false" name="집계2" vbProcedure="false">#REF!</definedName>
    <definedName function="false" hidden="false" name="집계표" vbProcedure="false">#REF!</definedName>
    <definedName function="false" hidden="false" name="집계표2" vbProcedure="false">집</definedName>
    <definedName function="false" hidden="true" name="집수" vbProcedure="false">#REF!</definedName>
    <definedName function="false" hidden="true" name="집포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짜증나" vbProcedure="false">{#N/A,#N/A,FALSE,"Sheet1"}</definedName>
    <definedName function="false" hidden="true" name="짱1" vbProcedure="false">{#N/A,#N/A,FALSE,"속도"}</definedName>
    <definedName function="false" hidden="false" name="차" vbProcedure="false">blankmacro1</definedName>
    <definedName function="false" hidden="false" name="착공월" vbProcedure="false">#REF!</definedName>
    <definedName function="false" hidden="false" name="착정규격" vbProcedure="false">#REF!</definedName>
    <definedName function="false" hidden="false" name="착정심도" vbProcedure="false">#REF!</definedName>
    <definedName function="false" hidden="true" name="찰샇기" vbProcedure="false">#REF!</definedName>
    <definedName function="false" hidden="false" name="참조" vbProcedure="false">#REF!</definedName>
    <definedName function="false" hidden="false" name="철골공" vbProcedure="false">#REF!</definedName>
    <definedName function="false" hidden="true" name="철골협의" vbProcedure="false">{#N/A,#N/A,FALSE,"현장 NCR 분석";#N/A,#N/A,FALSE,"현장품질감사";#N/A,#N/A,FALSE,"현장품질감사"}</definedName>
    <definedName function="false" hidden="false" name="철공" vbProcedure="false">#REF!</definedName>
    <definedName function="false" hidden="false" name="철근13" vbProcedure="false">#REF!</definedName>
    <definedName function="false" hidden="false" name="철근노" vbProcedure="false">#REF!</definedName>
    <definedName function="false" hidden="false" name="철근용접노무" vbProcedure="false">#REF!</definedName>
    <definedName function="false" hidden="false" name="철근용접재료" vbProcedure="false">#REF!</definedName>
    <definedName function="false" hidden="false" name="철근재" vbProcedure="false">#REF!</definedName>
    <definedName function="false" hidden="false" name="철목1호" vbProcedure="false">#REF!</definedName>
    <definedName function="false" hidden="false" name="철목2호" vbProcedure="false">#REF!</definedName>
    <definedName function="false" hidden="false" name="철목3호" vbProcedure="false">#REF!</definedName>
    <definedName function="false" hidden="false" name="철목4호" vbProcedure="false">#REF!</definedName>
    <definedName function="false" hidden="false" name="철콘" vbProcedure="false">#REF!</definedName>
    <definedName function="false" hidden="true" name="철콘부대외" vbProcedure="false">{#N/A,#N/A,FALSE,"Sheet1"}</definedName>
    <definedName function="false" hidden="false" name="청단풍" vbProcedure="false">#REF!</definedName>
    <definedName function="false" hidden="false" name="청림1호" vbProcedure="false">#REF!</definedName>
    <definedName function="false" hidden="false" name="청림2호" vbProcedure="false">#REF!</definedName>
    <definedName function="false" hidden="false" name="청림3호" vbProcedure="false">#REF!</definedName>
    <definedName function="false" hidden="false" name="총계" vbProcedure="false">#REF!</definedName>
    <definedName function="false" hidden="true" name="총공" vbProcedure="false">{#N/A,#N/A,FALSE,"운반시간"}</definedName>
    <definedName function="false" hidden="true" name="총괄" vbProcedure="false">{#N/A,#N/A,TRUE,"총괄"}</definedName>
    <definedName function="false" hidden="true" name="총괄내역" vbProcedure="false">#REF!</definedName>
    <definedName function="false" hidden="true" name="총괄제출2차" vbProcedure="false">#REF!</definedName>
    <definedName function="false" hidden="true" name="총괄표" vbProcedure="false">{#N/A,#N/A,TRUE,"총괄"}</definedName>
    <definedName function="false" hidden="false" name="총원가" vbProcedure="false">#REF!</definedName>
    <definedName function="false" hidden="false" name="총이윤" vbProcedure="false">#REF!</definedName>
    <definedName function="false" hidden="false" name="총토탈" vbProcedure="false">#REF!</definedName>
    <definedName function="false" hidden="false" name="총토탈1" vbProcedure="false">#REF!</definedName>
    <definedName function="false" hidden="false" name="총토탈2" vbProcedure="false">#REF!</definedName>
    <definedName function="false" hidden="true" name="최종추가합" vbProcedure="false">#REF!</definedName>
    <definedName function="false" hidden="true" name="추2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추가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추가2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추가E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추가옵션01" vbProcedure="false">#REF!</definedName>
    <definedName function="false" hidden="false" name="추별1" vbProcedure="false">#REF!</definedName>
    <definedName function="false" hidden="true" name="추초" vbProcedure="false">#REF!</definedName>
    <definedName function="false" hidden="true" name="충동" vbProcedure="false">#REF!</definedName>
    <definedName function="false" hidden="false" name="취소" vbProcedure="false">blankmacro1</definedName>
    <definedName function="false" hidden="true" name="취입" vbProcedure="false">#REF!</definedName>
    <definedName function="false" hidden="true" name="츄ㅗㄹㅊㄹ초" vbProcedure="false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function="false" hidden="false" name="측량" vbProcedure="false">#REF!</definedName>
    <definedName function="false" hidden="false" name="칠" vbProcedure="false">#REF!</definedName>
    <definedName function="false" hidden="true" name="칠곡" vbProcedure="false">{#N/A,#N/A,TRUE,"손익보고"}</definedName>
    <definedName function="false" hidden="true" name="칠성" vbProcedure="false">#REF!</definedName>
    <definedName function="false" hidden="false" name="컬러모니터" vbProcedure="false">#REF!</definedName>
    <definedName function="false" hidden="true" name="케이블간지" vbProcedure="false">{#N/A,#N/A,TRUE,"토적및재료집계";#N/A,#N/A,TRUE,"토적및재료집계";#N/A,#N/A,TRUE,"단위량"}</definedName>
    <definedName function="false" hidden="false" name="케이싱규격" vbProcedure="false">#REF!</definedName>
    <definedName function="false" hidden="false" name="케이싱자재" vbProcedure="false">#REF!</definedName>
    <definedName function="false" hidden="false" name="콘노" vbProcedure="false">#REF!</definedName>
    <definedName function="false" hidden="false" name="콘재" vbProcedure="false">#REF!</definedName>
    <definedName function="false" hidden="false" name="콘크리트" vbProcedure="false">#REF!</definedName>
    <definedName function="false" hidden="true" name="콘크리트2" vbProcedure="false">#REF!</definedName>
    <definedName function="false" hidden="false" name="콤팩터경비" vbProcedure="false">#REF!</definedName>
    <definedName function="false" hidden="false" name="콤팩터노무비" vbProcedure="false">#REF!</definedName>
    <definedName function="false" hidden="false" name="콤팩터재료비" vbProcedure="false">#REF!</definedName>
    <definedName function="false" hidden="false" name="크레인" vbProcedure="false">#REF!</definedName>
    <definedName function="false" hidden="false" name="타이어경" vbProcedure="false">#REF!</definedName>
    <definedName function="false" hidden="false" name="타이어노무" vbProcedure="false">#REF!</definedName>
    <definedName function="false" hidden="false" name="타이어재료" vbProcedure="false">#REF!</definedName>
    <definedName function="false" hidden="false" name="태산목10노무" vbProcedure="false">#REF!</definedName>
    <definedName function="false" hidden="false" name="태산목10재료" vbProcedure="false">#REF!</definedName>
    <definedName function="false" hidden="false" name="태산목12노무" vbProcedure="false">#REF!</definedName>
    <definedName function="false" hidden="false" name="태산목12재료" vbProcedure="false">#REF!</definedName>
    <definedName function="false" hidden="false" name="터파기" vbProcedure="false">#REF!</definedName>
    <definedName function="false" hidden="false" name="템플리트모듈1" vbProcedure="false">blankmacro1</definedName>
    <definedName function="false" hidden="false" name="템플리트모듈2" vbProcedure="false">blankmacro1</definedName>
    <definedName function="false" hidden="false" name="템플리트모듈3" vbProcedure="false">blankmacro1</definedName>
    <definedName function="false" hidden="false" name="템플리트모듈4" vbProcedure="false">blankmacro1</definedName>
    <definedName function="false" hidden="false" name="템플리트모듈5" vbProcedure="false">blankmacro1</definedName>
    <definedName function="false" hidden="false" name="템플리트모듈6" vbProcedure="false">blankmacro1</definedName>
    <definedName function="false" hidden="true" name="토" vbProcedure="false">#REF!</definedName>
    <definedName function="false" hidden="false" name="토공품목" vbProcedure="false">#REF!</definedName>
    <definedName function="false" hidden="true" name="토목공사" vbProcedure="false">{#N/A,#N/A,FALSE,"이태원철근"}</definedName>
    <definedName function="false" hidden="false" name="토목내역" vbProcedure="false">#REF!</definedName>
    <definedName function="false" hidden="true" name="토목설계" vbProcedure="false">{#N/A,#N/A,FALSE,"골재소요량";#N/A,#N/A,FALSE,"골재소요량"}</definedName>
    <definedName function="false" hidden="true" name="토목실견적" vbProcedure="false">{#N/A,#N/A,FALSE,"이태원철근"}</definedName>
    <definedName function="false" hidden="false" name="톱밥퇴비" vbProcedure="false">#REF!</definedName>
    <definedName function="false" hidden="false" name="통신집계" vbProcedure="false">blankmacro1</definedName>
    <definedName function="false" hidden="false" name="특수비계공" vbProcedure="false">#REF!</definedName>
    <definedName function="false" hidden="false" name="파고라노" vbProcedure="false">#REF!</definedName>
    <definedName function="false" hidden="false" name="파고라재" vbProcedure="false">#REF!</definedName>
    <definedName function="false" hidden="true" name="파일" vbProcedure="false">#REF!</definedName>
    <definedName function="false" hidden="false" name="판석노" vbProcedure="false">#REF!</definedName>
    <definedName function="false" hidden="false" name="판석재" vbProcedure="false">#REF!</definedName>
    <definedName function="false" hidden="true" name="팔" vbProcedure="false">#REF!</definedName>
    <definedName function="false" hidden="true" name="패널물량" vbProcedure="false">{#N/A,#N/A,FALSE,"전열산출서"}</definedName>
    <definedName function="false" hidden="true" name="팬" vbProcedure="false">{"'급수사용량산정 (2)'!$A$1:$M$49","'급수사용량산정 (2)'!$A$1:$M$80"}</definedName>
    <definedName function="false" hidden="false" name="펌프구경" vbProcedure="false">#REF!</definedName>
    <definedName function="false" hidden="true" name="페기갑지" vbProcedure="false">#REF!</definedName>
    <definedName function="false" hidden="true" name="평당견적" vbProcedure="false">#REF!</definedName>
    <definedName function="false" hidden="false" name="평의자" vbProcedure="false">#REF!</definedName>
    <definedName function="false" hidden="false" name="평의자노" vbProcedure="false">#REF!</definedName>
    <definedName function="false" hidden="false" name="평의자재" vbProcedure="false">#REF!</definedName>
    <definedName function="false" hidden="true" name="폐기" vbProcedure="false">#REF!</definedName>
    <definedName function="false" hidden="true" name="폐기갑지용" vbProcedure="false">#REF!</definedName>
    <definedName function="false" hidden="false" name="폐기물집계표" vbProcedure="false">집</definedName>
    <definedName function="false" hidden="false" name="폐추니아" vbProcedure="false">#REF!</definedName>
    <definedName function="false" hidden="false" name="포장공" vbProcedure="false">blankmacro1</definedName>
    <definedName function="false" hidden="false" name="포장공1" vbProcedure="false">blankmacro1</definedName>
    <definedName function="false" hidden="false" name="표면보호경비" vbProcedure="false">#REF!</definedName>
    <definedName function="false" hidden="false" name="표면보호노무비" vbProcedure="false">#REF!</definedName>
    <definedName function="false" hidden="false" name="표면보호재료비" vbProcedure="false">#REF!</definedName>
    <definedName function="false" hidden="false" name="표지001" vbProcedure="false">#N/A</definedName>
    <definedName function="false" hidden="false" name="표지01" vbProcedure="false">#N/A</definedName>
    <definedName function="false" hidden="false" name="표지1" vbProcedure="false">#REF!</definedName>
    <definedName function="false" hidden="true" name="표지2" vbProcedure="false">#REF!</definedName>
    <definedName function="false" hidden="true" name="표지3" vbProcedure="false">{#N/A,#N/A,FALSE,"이정표"}</definedName>
    <definedName function="false" hidden="false" name="표지다" vbProcedure="false">#REF!</definedName>
    <definedName function="false" hidden="true" name="표표표자지" vbProcedure="false">{#N/A,#N/A,FALSE,"골재소요량";#N/A,#N/A,FALSE,"골재소요량"}</definedName>
    <definedName function="false" hidden="false" name="품명" vbProcedure="false">#REF!</definedName>
    <definedName function="false" hidden="false" name="품목" vbProcedure="false">#REF!</definedName>
    <definedName function="false" hidden="false" name="품목분류" vbProcedure="false">#REF!</definedName>
    <definedName function="false" hidden="false" name="품목표" vbProcedure="false">#REF!</definedName>
    <definedName function="false" hidden="false" name="품셈" vbProcedure="false">#REF!</definedName>
    <definedName function="false" hidden="false" name="품위내역서" vbProcedure="false">blankmacro1</definedName>
    <definedName function="false" hidden="false" name="품질시험비" vbProcedure="false">#REF!</definedName>
    <definedName function="false" hidden="true" name="풍전2" vbProcedure="false">{#N/A,#N/A,TRUE,"손익보고"}</definedName>
    <definedName function="false" hidden="true" name="피로티" vbProcedure="false">{#N/A,#N/A,FALSE,"이태원철근"}</definedName>
    <definedName function="false" hidden="true" name="피로티1" vbProcedure="false">{#N/A,#N/A,FALSE,"이태원철근"}</definedName>
    <definedName function="false" hidden="true" name="하" vbProcedure="false">{#N/A,#N/A,FALSE,"지침";#N/A,#N/A,FALSE,"환경분석";#N/A,#N/A,FALSE,"Sheet16"}</definedName>
    <definedName function="false" hidden="false" name="하5" vbProcedure="false">#REF!</definedName>
    <definedName function="false" hidden="false" name="하6" vbProcedure="false">#REF!</definedName>
    <definedName function="false" hidden="false" name="하7" vbProcedure="false">#REF!</definedName>
    <definedName function="false" hidden="false" name="하8" vbProcedure="false">#REF!</definedName>
    <definedName function="false" hidden="false" name="하_지" vbProcedure="false">#REF!</definedName>
    <definedName function="false" hidden="true" name="하도급" vbProcedure="false">{#N/A,#N/A,FALSE,"사업총괄";#N/A,#N/A,FALSE,"장비사업";#N/A,#N/A,FALSE,"철구사업";#N/A,#N/A,FALSE,"준설사업"}</definedName>
    <definedName function="false" hidden="false" name="하도급1" vbProcedure="false">#REF!</definedName>
    <definedName function="false" hidden="false" name="하도급2" vbProcedure="false">#REF!</definedName>
    <definedName function="false" hidden="false" name="하도급3" vbProcedure="false">#REF!</definedName>
    <definedName function="false" hidden="false" name="하도급4" vbProcedure="false">#REF!</definedName>
    <definedName function="false" hidden="false" name="하도급5" vbProcedure="false">#REF!</definedName>
    <definedName function="false" hidden="false" name="하도급6" vbProcedure="false">#REF!</definedName>
    <definedName function="false" hidden="false" name="하도급계획서" vbProcedure="false">#REF!</definedName>
    <definedName function="false" hidden="false" name="하도급사항" vbProcedure="false">#REF!</definedName>
    <definedName function="false" hidden="true" name="하도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하동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name="하수도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name="하지" vbProcedure="false">#REF!</definedName>
    <definedName function="false" hidden="true" name="하하하" vbProcedure="false">{#N/A,#N/A,FALSE,"단가표지"}</definedName>
    <definedName function="false" hidden="true" name="한" vbProcedure="false">#REF!</definedName>
    <definedName function="false" hidden="false" name="한_일" vbProcedure="false">#REF!</definedName>
    <definedName function="false" hidden="false" name="한교1호" vbProcedure="false">#REF!</definedName>
    <definedName function="false" hidden="false" name="한교2호" vbProcedure="false">#REF!</definedName>
    <definedName function="false" hidden="false" name="한교3호" vbProcedure="false">#REF!</definedName>
    <definedName function="false" hidden="false" name="한글노무비" vbProcedure="false">#REF!</definedName>
    <definedName function="false" hidden="false" name="한라구절초" vbProcedure="false">#REF!</definedName>
    <definedName function="false" hidden="false" name="한일" vbProcedure="false">#REF!</definedName>
    <definedName function="false" hidden="true" name="한전수" vbProcedure="false">{#N/A,#N/A,FALSE,"명세표"}</definedName>
    <definedName function="false" hidden="false" name="할석공" vbProcedure="false">#REF!</definedName>
    <definedName function="false" hidden="false" name="할증" vbProcedure="false">#REF!</definedName>
    <definedName function="false" hidden="false" name="함석공계" vbProcedure="false">#REF!</definedName>
    <definedName function="false" hidden="false" name="합계" vbProcedure="false">#REF!</definedName>
    <definedName function="false" hidden="false" name="합판노" vbProcedure="false">#REF!</definedName>
    <definedName function="false" hidden="false" name="합판재" vbProcedure="false">#REF!</definedName>
    <definedName function="false" hidden="true" name="해" vbProcedure="false">#REF!</definedName>
    <definedName function="false" hidden="false" name="해당화" vbProcedure="false">#REF!</definedName>
    <definedName function="false" hidden="false" name="행삭제" vbProcedure="false">#REF!</definedName>
    <definedName function="false" hidden="false" name="혀" vbProcedure="false">#REF!</definedName>
    <definedName function="false" hidden="false" name="현" vbProcedure="false">#REF!</definedName>
    <definedName function="false" hidden="true" name="현장" vbProcedure="false">#REF!</definedName>
    <definedName function="false" hidden="true" name="현조" vbProcedure="false">#REF!</definedName>
    <definedName function="false" hidden="true" name="협력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협력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name="형틀업체" vbProcedure="false">{#N/A,#N/A,FALSE,"월공사비집계표양식 (7)";#N/A,#N/A,FALSE,"월공사비집계표양식 (7)"}</definedName>
    <definedName function="false" hidden="false" name="호박" vbProcedure="false">#REF!</definedName>
    <definedName function="false" hidden="false" name="호박노" vbProcedure="false">#REF!</definedName>
    <definedName function="false" hidden="false" name="호박재" vbProcedure="false">#REF!</definedName>
    <definedName function="false" hidden="false" name="홍단풍" vbProcedure="false">#REF!</definedName>
    <definedName function="false" hidden="false" name="화신1호" vbProcedure="false">#REF!</definedName>
    <definedName function="false" hidden="false" name="화신2호" vbProcedure="false">#REF!</definedName>
    <definedName function="false" hidden="false" name="화신기존1" vbProcedure="false">#REF!</definedName>
    <definedName function="false" hidden="false" name="화신기존2" vbProcedure="false">#REF!</definedName>
    <definedName function="false" hidden="true" name="확역서1" vbProcedure="false">#REF!</definedName>
    <definedName function="false" hidden="false" name="환" vbProcedure="false">#REF!</definedName>
    <definedName function="false" hidden="false" name="환율" vbProcedure="false">#REF!</definedName>
    <definedName function="false" hidden="false" name="황" vbProcedure="false">#REF!</definedName>
    <definedName function="false" hidden="false" name="회사경비" vbProcedure="false">#REF!</definedName>
    <definedName function="false" hidden="false" name="회사명" vbProcedure="false">#REF!</definedName>
    <definedName function="false" hidden="false" name="회사분경비" vbProcedure="false">#REF!</definedName>
    <definedName function="false" hidden="false" name="회시1호" vbProcedure="false">#REF!</definedName>
    <definedName function="false" hidden="false" name="회시2호" vbProcedure="false">#REF!</definedName>
    <definedName function="false" hidden="false" name="효구" vbProcedure="false">dlog_show</definedName>
    <definedName function="false" hidden="false" name="효자" vbProcedure="false">dlog_show</definedName>
    <definedName function="false" hidden="false" name="효자건설" vbProcedure="false">dlog_show</definedName>
    <definedName function="false" hidden="true" name="희성" vbProcedure="false">{#N/A,#N/A,FALSE,"명세표"}</definedName>
    <definedName function="false" hidden="false" name="히말라야시다6노무" vbProcedure="false">#REF!</definedName>
    <definedName function="false" hidden="false" name="히말라야시다6재료" vbProcedure="false">#REF!</definedName>
    <definedName function="false" hidden="false" name="히말라야시다8노무" vbProcedure="false">#REF!</definedName>
    <definedName function="false" hidden="false" name="히말라야시다8재료" vbProcedure="false">#REF!</definedName>
    <definedName function="false" hidden="false" name="勞務費" vbProcedure="false">#REF!</definedName>
    <definedName function="false" hidden="false" name="利潤" vbProcedure="false">#REF!</definedName>
    <definedName function="false" hidden="false" localSheetId="6" name="aa" vbProcedure="false">#REF!</definedName>
    <definedName function="false" hidden="false" localSheetId="6" name="aaaa" vbProcedure="false">#REF!</definedName>
    <definedName function="false" hidden="false" localSheetId="6" name="aaaaaa" vbProcedure="false">blankmacro1</definedName>
    <definedName function="false" hidden="false" localSheetId="6" name="aaaaaaa" vbProcedure="false">blankmacro1</definedName>
    <definedName function="false" hidden="false" localSheetId="6" name="aaaaaaaa" vbProcedure="false">blankmacro1</definedName>
    <definedName function="false" hidden="false" localSheetId="6" name="aaaaaaaaaaa" vbProcedure="false">blankmacro1</definedName>
    <definedName function="false" hidden="false" localSheetId="6" name="aaaaaaaaaaaaaaa" vbProcedure="false">blankmacro1</definedName>
    <definedName function="false" hidden="false" localSheetId="6" name="aaaaaaaaaaaaaaaaaaaaaa" vbProcedure="false">blankmacro1</definedName>
    <definedName function="false" hidden="true" localSheetId="6" name="ab" vbProcedure="false">{#N/A,#N/A,FALSE,"이태원철근"}</definedName>
    <definedName function="false" hidden="true" localSheetId="6" name="ac" vbProcedure="false">{#N/A,#N/A,FALSE,"이태원철근"}</definedName>
    <definedName function="false" hidden="true" localSheetId="6" name="AccessDatabase" vbProcedure="false">"E:\WORK\VISUAL\MIRAE\LOADSYS\LoadDB.mdb"</definedName>
    <definedName function="false" hidden="false" localSheetId="6" name="acti_day" vbProcedure="false">#REF!</definedName>
    <definedName function="false" hidden="false" localSheetId="6" name="acti_month" vbProcedure="false">#REF!</definedName>
    <definedName function="false" hidden="false" localSheetId="6" name="acti_monthday" vbProcedure="false">#REF!</definedName>
    <definedName function="false" hidden="true" localSheetId="6" name="ACX" vbProcedure="false">#REF!</definedName>
    <definedName function="false" hidden="true" localSheetId="6" name="ad" vbProcedure="false">{#N/A,#N/A,FALSE,"이태원철근"}</definedName>
    <definedName function="false" hidden="true" localSheetId="6" name="ada" vbProcedure="false">{#N/A,#N/A,FALSE,"이태원철근"}</definedName>
    <definedName function="false" hidden="true" localSheetId="6" name="ADF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ae" vbProcedure="false">{#N/A,#N/A,FALSE,"이태원철근"}</definedName>
    <definedName function="false" hidden="true" localSheetId="6" name="af" vbProcedure="false">{#N/A,#N/A,FALSE,"이태원철근"}</definedName>
    <definedName function="false" hidden="true" localSheetId="6" name="ag" vbProcedure="false">{#N/A,#N/A,FALSE,"이태원철근"}</definedName>
    <definedName function="false" hidden="true" localSheetId="6" name="ah" vbProcedure="false">{#N/A,#N/A,FALSE,"이태원철근"}</definedName>
    <definedName function="false" hidden="true" localSheetId="6" name="aheh" vbProcedure="false">{#N/A,#N/A,FALSE,"이태원철근"}</definedName>
    <definedName function="false" hidden="true" localSheetId="6" name="ai" vbProcedure="false">{#N/A,#N/A,FALSE,"이태원철근"}</definedName>
    <definedName function="false" hidden="true" localSheetId="6" name="aj" vbProcedure="false">{#N/A,#N/A,FALSE,"이태원철근"}</definedName>
    <definedName function="false" hidden="true" localSheetId="6" name="AJH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ak" vbProcedure="false">{#N/A,#N/A,FALSE,"이태원철근"}</definedName>
    <definedName function="false" hidden="true" localSheetId="6" name="al" vbProcedure="false">{#N/A,#N/A,FALSE,"이태원철근"}</definedName>
    <definedName function="false" hidden="true" localSheetId="6" name="alslsdkjfjs" vbProcedure="false">#REF!</definedName>
    <definedName function="false" hidden="true" localSheetId="6" name="am" vbProcedure="false">{#N/A,#N/A,FALSE,"이태원철근"}</definedName>
    <definedName function="false" hidden="false" localSheetId="6" name="Amount_h" vbProcedure="false">#REF!</definedName>
    <definedName function="false" hidden="true" localSheetId="6" name="an" vbProcedure="false">{#N/A,#N/A,FALSE,"이태원철근"}</definedName>
    <definedName function="false" hidden="false" localSheetId="6" name="anal_ij" vbProcedure="false">#REF!</definedName>
    <definedName function="false" hidden="true" localSheetId="6" name="ao" vbProcedure="false">{#N/A,#N/A,FALSE,"이태원철근"}</definedName>
    <definedName function="false" hidden="true" localSheetId="6" name="ap" vbProcedure="false">{#N/A,#N/A,FALSE,"이태원철근"}</definedName>
    <definedName function="false" hidden="true" localSheetId="6" name="aq" vbProcedure="false">{#N/A,#N/A,FALSE,"이태원철근"}</definedName>
    <definedName function="false" hidden="true" localSheetId="6" name="ar" vbProcedure="false">{#N/A,#N/A,FALSE,"이태원철근"}</definedName>
    <definedName function="false" hidden="true" localSheetId="6" name="as" vbProcedure="false">#REF!</definedName>
    <definedName function="false" hidden="true" localSheetId="6" name="asdga" vbProcedure="false">{#N/A,#N/A,FALSE,"이태원철근"}</definedName>
    <definedName function="false" hidden="false" localSheetId="6" name="ASS" vbProcedure="false">#REF!</definedName>
    <definedName function="false" hidden="false" localSheetId="6" name="AV" vbProcedure="false">#REF!</definedName>
    <definedName function="false" hidden="false" localSheetId="6" name="Aㅁ2423" vbProcedure="false">#REF!</definedName>
    <definedName function="false" hidden="false" localSheetId="6" name="B" vbProcedure="false">#REF!</definedName>
    <definedName function="false" hidden="true" localSheetId="6" name="BB" vbProcedure="false">{#N/A,#N/A,FALSE,"이태원철근"}</definedName>
    <definedName function="false" hidden="true" localSheetId="6" name="BC" vbProcedure="false">{#N/A,#N/A,FALSE,"이태원철근"}</definedName>
    <definedName function="false" hidden="true" localSheetId="6" name="BI" vbProcedure="false">{#N/A,#N/A,FALSE,"이태원철근"}</definedName>
    <definedName function="false" hidden="true" localSheetId="6" name="BM" vbProcedure="false">#REF!</definedName>
    <definedName function="false" hidden="true" localSheetId="6" name="BOOK2" vbProcedure="false">{#N/A,#N/A,TRUE,"손익보고"}</definedName>
    <definedName function="false" hidden="false" localSheetId="6" name="cal_f_day" vbProcedure="false">#REF!</definedName>
    <definedName function="false" hidden="false" localSheetId="6" name="CCC" vbProcedure="false">#REF!</definedName>
    <definedName function="false" hidden="false" localSheetId="6" name="code" vbProcedure="false">#REF!</definedName>
    <definedName function="false" hidden="false" localSheetId="6" name="CommonDatabase" vbProcedure="false">#REF!</definedName>
    <definedName function="false" hidden="false" localSheetId="6" name="cordaddr" vbProcedure="false">#REF!</definedName>
    <definedName function="false" hidden="false" localSheetId="6" name="cordaddr1" vbProcedure="false">#REF!</definedName>
    <definedName function="false" hidden="false" localSheetId="6" name="CRb" vbProcedure="false">#REF!</definedName>
    <definedName function="false" hidden="false" localSheetId="6" name="cri_01" vbProcedure="false">#REF!</definedName>
    <definedName function="false" hidden="false" localSheetId="6" name="cri_02" vbProcedure="false">#REF!</definedName>
    <definedName function="false" hidden="false" localSheetId="6" name="crtrcd" vbProcedure="false">#REF!</definedName>
    <definedName function="false" hidden="false" localSheetId="6" name="DANGA" vbProcedure="false">#REF!,#REF!</definedName>
    <definedName function="false" hidden="false" localSheetId="6" name="data" vbProcedure="false">#REF!</definedName>
    <definedName function="false" hidden="true" localSheetId="6" name="dataww" vbProcedure="false">#REF!</definedName>
    <definedName function="false" hidden="false" localSheetId="6" name="data_block" vbProcedure="false">#REF!</definedName>
    <definedName function="false" hidden="false" localSheetId="6" name="data_block2" vbProcedure="false">#REF!</definedName>
    <definedName function="false" hidden="true" localSheetId="6" name="DD" vbProcedure="false">#REF!</definedName>
    <definedName function="false" hidden="true" localSheetId="6" name="dddd" vbProcedure="false">{#N/A,#N/A,FALSE,"CCTV"}</definedName>
    <definedName function="false" hidden="false" localSheetId="6" name="DDDDA" vbProcedure="false">blankmacro1</definedName>
    <definedName function="false" hidden="true" localSheetId="6" name="DDFR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DDS" vbProcedure="false">blankmacro1</definedName>
    <definedName function="false" hidden="false" localSheetId="6" name="DDW" vbProcedure="false">blankmacro1</definedName>
    <definedName function="false" hidden="true" localSheetId="6" name="DF" vbProcedure="false">#REF!</definedName>
    <definedName function="false" hidden="true" localSheetId="6" name="DFASDF" vbProcedure="false">#REF!</definedName>
    <definedName function="false" hidden="true" localSheetId="6" name="DFSW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Dij" vbProcedure="false">#REF!</definedName>
    <definedName function="false" hidden="false" localSheetId="6" name="DKD" vbProcedure="false">blankmacro1</definedName>
    <definedName function="false" hidden="true" localSheetId="6" name="dkdkdkdkd" vbProcedure="false">{#N/A,#N/A,FALSE,"명세표"}</definedName>
    <definedName function="false" hidden="false" localSheetId="6" name="DKE" vbProcedure="false">blankmacro1</definedName>
    <definedName function="false" hidden="true" localSheetId="6" name="DKSG" vbProcedure="false">#REF!</definedName>
    <definedName function="false" hidden="true" localSheetId="6" name="dksk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dlsrks" vbProcedure="false">blankmacro1</definedName>
    <definedName function="false" hidden="false" localSheetId="6" name="DMsum" vbProcedure="false">#REF!</definedName>
    <definedName function="false" hidden="true" localSheetId="6" name="dn" vbProcedure="false">{#N/A,#N/A,FALSE,"혼합골재"}</definedName>
    <definedName function="false" hidden="true" localSheetId="6" name="Dp" vbProcedure="false">#REF!</definedName>
    <definedName function="false" hidden="false" localSheetId="6" name="DRsum" vbProcedure="false">#REF!</definedName>
    <definedName function="false" hidden="false" localSheetId="6" name="DS" vbProcedure="false">blankmacro1</definedName>
    <definedName function="false" hidden="true" localSheetId="6" name="DSA" vbProcedure="false">{#N/A,#N/A,FALSE,"제목"}</definedName>
    <definedName function="false" hidden="true" localSheetId="6" name="dsgfggg" vbProcedure="false">#REF!</definedName>
    <definedName function="false" hidden="true" localSheetId="6" name="DSSDS" vbProcedure="false">{#N/A,#N/A,FALSE,"명세표"}</definedName>
    <definedName function="false" hidden="false" localSheetId="6" name="DWS" vbProcedure="false">blankmacro1</definedName>
    <definedName function="false" hidden="false" localSheetId="6" name="D_1000" vbProcedure="false">#REF!</definedName>
    <definedName function="false" hidden="false" localSheetId="6" name="D_250" vbProcedure="false">#REF!</definedName>
    <definedName function="false" hidden="false" localSheetId="6" name="D_300" vbProcedure="false">#REF!</definedName>
    <definedName function="false" hidden="false" localSheetId="6" name="D열" vbProcedure="false">#REF!</definedName>
    <definedName function="false" hidden="false" localSheetId="6" name="E10M" vbProcedure="false">#REF!</definedName>
    <definedName function="false" hidden="false" localSheetId="6" name="E10P" vbProcedure="false">#REF!</definedName>
    <definedName function="false" hidden="true" localSheetId="6" name="ECS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ECS기계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ED" vbProcedure="false">#REF!</definedName>
    <definedName function="false" hidden="false" localSheetId="6" name="edgh" vbProcedure="false">#REF!</definedName>
    <definedName function="false" hidden="true" localSheetId="6" name="ee" vbProcedure="false">{#N/A,#N/A,FALSE,"단가표지"}</definedName>
    <definedName function="false" hidden="false" localSheetId="6" name="eeeeeeeee" vbProcedure="false">blankmacro1</definedName>
    <definedName function="false" hidden="false" localSheetId="6" name="EF" vbProcedure="false">#REF!</definedName>
    <definedName function="false" hidden="false" localSheetId="6" name="Efd" vbProcedure="false">#REF!</definedName>
    <definedName function="false" hidden="false" localSheetId="6" name="ef_val" vbProcedure="false">#REF!</definedName>
    <definedName function="false" hidden="true" localSheetId="6" name="EK" vbProcedure="false">#REF!</definedName>
    <definedName function="false" hidden="false" localSheetId="6" name="end_day" vbProcedure="false">#REF!</definedName>
    <definedName function="false" hidden="false" localSheetId="6" name="end_month" vbProcedure="false">#REF!</definedName>
    <definedName function="false" hidden="false" localSheetId="6" name="end_year" vbProcedure="false">#REF!</definedName>
    <definedName function="false" hidden="true" localSheetId="6" name="ENJA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ES" vbProcedure="false">#REF!</definedName>
    <definedName function="false" hidden="false" localSheetId="6" name="Esd" vbProcedure="false">#REF!</definedName>
    <definedName function="false" hidden="false" localSheetId="6" name="Esd_h" vbProcedure="false">#REF!</definedName>
    <definedName function="false" hidden="false" localSheetId="6" name="es_block" vbProcedure="false">#REF!</definedName>
    <definedName function="false" hidden="false" localSheetId="6" name="es_val" vbProcedure="false">#REF!</definedName>
    <definedName function="false" hidden="false" localSheetId="6" name="etcrcd" vbProcedure="false">#REF!</definedName>
    <definedName function="false" hidden="false" localSheetId="6" name="EXE" vbProcedure="false">blankmacro1</definedName>
    <definedName function="false" hidden="false" localSheetId="6" name="Extract_MI" vbProcedure="false">#REF!</definedName>
    <definedName function="false" hidden="true" localSheetId="6" name="f" vbProcedure="false">{#N/A,#N/A,FALSE,"월공사비집계표양식 (7)";#N/A,#N/A,FALSE,"월공사비집계표양식 (7)"}</definedName>
    <definedName function="false" hidden="true" localSheetId="6" name="FDG" vbProcedure="false">{#N/A,#N/A,FALSE,"제목"}</definedName>
    <definedName function="false" hidden="false" localSheetId="6" name="fdgz" vbProcedure="false">#REF!</definedName>
    <definedName function="false" hidden="true" localSheetId="6" name="fdhevwtec" vbProcedure="false">{#N/A,#N/A,FALSE,"구조1"}</definedName>
    <definedName function="false" hidden="true" localSheetId="6" name="fdhg" vbProcedure="false">{#N/A,#N/A,FALSE,"이태원철근"}</definedName>
    <definedName function="false" hidden="true" localSheetId="6" name="fedgre" vbProcedure="false">{#N/A,#N/A,FALSE,"배수1"}</definedName>
    <definedName function="false" hidden="false" localSheetId="6" name="FEEL" vbProcedure="false">#REF!</definedName>
    <definedName function="false" hidden="true" localSheetId="6" name="ff" vbProcedure="false">{#N/A,#N/A,FALSE,"운반시간"}</definedName>
    <definedName function="false" hidden="true" localSheetId="6" name="FFF" vbProcedure="false">{#N/A,#N/A,FALSE,"월공사비집계표양식 (7)";#N/A,#N/A,FALSE,"월공사비집계표양식 (7)"}</definedName>
    <definedName function="false" hidden="false" localSheetId="6" name="ff_block" vbProcedure="false">#REF!</definedName>
    <definedName function="false" hidden="false" localSheetId="6" name="FF_h" vbProcedure="false">#REF!</definedName>
    <definedName function="false" hidden="false" localSheetId="6" name="ff_val" vbProcedure="false">#REF!</definedName>
    <definedName function="false" hidden="true" localSheetId="6" name="fgn" vbProcedure="false">{#N/A,#N/A,FALSE,"구조2"}</definedName>
    <definedName function="false" hidden="true" localSheetId="6" name="fgnrt" vbProcedure="false">{#N/A,#N/A,FALSE,"단가표지"}</definedName>
    <definedName function="false" hidden="false" localSheetId="6" name="fjkf" vbProcedure="false">#REF!</definedName>
    <definedName function="false" hidden="true" localSheetId="6" name="fkf" vbProcedure="false">#REF!</definedName>
    <definedName function="false" hidden="true" localSheetId="6" name="FSD" vbProcedure="false">{#N/A,#N/A,FALSE,"제목"}</definedName>
    <definedName function="false" hidden="true" localSheetId="6" name="FSDAF" vbProcedure="false">{#N/A,#N/A,FALSE,"제목"}</definedName>
    <definedName function="false" hidden="false" localSheetId="6" name="g" vbProcedure="false">#REF!</definedName>
    <definedName function="false" hidden="true" localSheetId="6" name="gb" vbProcedure="false">{#N/A,#N/A,FALSE,"2~8번"}</definedName>
    <definedName function="false" hidden="true" localSheetId="6" name="GEMCO" vbProcedure="false">#REF!</definedName>
    <definedName function="false" hidden="false" localSheetId="6" name="gfggfr" vbProcedure="false">#REF!</definedName>
    <definedName function="false" hidden="true" localSheetId="6" name="gfsfg" vbProcedure="false">{#N/A,#N/A,FALSE,"이태원철근"}</definedName>
    <definedName function="false" hidden="true" localSheetId="6" name="gg" vbProcedure="false">{#N/A,#N/A,FALSE,"운반시간"}</definedName>
    <definedName function="false" hidden="false" localSheetId="6" name="ggg" vbProcedure="false">#REF!</definedName>
    <definedName function="false" hidden="true" localSheetId="6" name="GGGTR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GGTREW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gh" vbProcedure="false">{#N/A,#N/A,FALSE,"이태원철근"}</definedName>
    <definedName function="false" hidden="true" localSheetId="6" name="ghdghdg" vbProcedure="false">{#N/A,#N/A,FALSE,"이태원철근"}</definedName>
    <definedName function="false" hidden="false" localSheetId="6" name="ghfghf" vbProcedure="false">#REF!</definedName>
    <definedName function="false" hidden="true" localSheetId="6" name="GHK" vbProcedure="false">{"'용역비'!$A$4:$C$8"}</definedName>
    <definedName function="false" hidden="true" localSheetId="6" name="GJH" vbProcedure="false">{#N/A,#N/A,FALSE,"제목"}</definedName>
    <definedName function="false" hidden="false" localSheetId="6" name="gjj" vbProcedure="false">#REF!</definedName>
    <definedName function="false" hidden="false" localSheetId="6" name="gjnamedata" vbProcedure="false">#REF!</definedName>
    <definedName function="false" hidden="false" localSheetId="6" name="gjnamedata1" vbProcedure="false">#REF!</definedName>
    <definedName function="false" hidden="true" localSheetId="6" name="GMLWD" vbProcedure="false">#REF!</definedName>
    <definedName function="false" hidden="true" localSheetId="6" name="grew" vbProcedure="false">#REF!</definedName>
    <definedName function="false" hidden="true" localSheetId="6" name="GUSTLS" vbProcedure="false">#REF!</definedName>
    <definedName function="false" hidden="true" localSheetId="6" name="G견적" vbProcedure="false">{#N/A,#N/A,TRUE,"손익보고"}</definedName>
    <definedName function="false" hidden="false" localSheetId="6" name="G열" vbProcedure="false">#REF!</definedName>
    <definedName function="false" hidden="true" localSheetId="6" name="ha" vbProcedure="false">{#N/A,#N/A,FALSE,"지침";#N/A,#N/A,FALSE,"환경분석";#N/A,#N/A,FALSE,"Sheet16"}</definedName>
    <definedName function="false" hidden="false" localSheetId="6" name="HAF" vbProcedure="false">#REF!</definedName>
    <definedName function="false" hidden="true" localSheetId="6" name="han" vbProcedure="false">#REF!</definedName>
    <definedName function="false" hidden="true" localSheetId="6" name="HERE" vbProcedure="false">{#N/A,#N/A,TRUE,"손익보고"}</definedName>
    <definedName function="false" hidden="true" localSheetId="6" name="HGGGH" vbProcedure="false">{#N/A,#N/A,FALSE,"제목"}</definedName>
    <definedName function="false" hidden="false" localSheetId="6" name="HHAF" vbProcedure="false">#REF!</definedName>
    <definedName function="false" hidden="true" localSheetId="6" name="HHHH" vbProcedure="false">#REF!</definedName>
    <definedName function="false" hidden="false" localSheetId="6" name="HHMF" vbProcedure="false">#REF!</definedName>
    <definedName function="false" hidden="true" localSheetId="6" name="HJ" vbProcedure="false">{#N/A,#N/A,FALSE,"제목"}</definedName>
    <definedName function="false" hidden="true" localSheetId="6" name="HJK" vbProcedure="false">{#N/A,#N/A,FALSE,"이태원철근"}</definedName>
    <definedName function="false" hidden="false" localSheetId="6" name="HMF" vbProcedure="false">#REF!</definedName>
    <definedName function="false" hidden="false" localSheetId="6" name="HMOTOR" vbProcedure="false">#REF!</definedName>
    <definedName function="false" hidden="false" localSheetId="6" name="HP" vbProcedure="false">#REF!</definedName>
    <definedName function="false" hidden="true" localSheetId="6" name="hrbjrjy" vbProcedure="false">{#N/A,#N/A,FALSE,"배수2"}</definedName>
    <definedName function="false" hidden="true" localSheetId="6" name="HTML_Control" vbProcedure="false">{"'Sheet1'!$A$22:$G$23","'Sheet1'!$A$6","'Sheet1'!$E$10","'Sheet1'!$A$1:$F$23","'Sheet1'!$B$10","'Sheet1'!$A$1:$G$22","'Sheet1'!$A$1:$G$51"}</definedName>
    <definedName function="false" hidden="true" localSheetId="6" name="HTML_Header" vbProcedure="false">"Sheet1"</definedName>
    <definedName function="false" hidden="true" localSheetId="6" name="HTML_LastUpdate" vbProcedure="false">"99-06-18"</definedName>
    <definedName function="false" hidden="true" localSheetId="6" name="HTML_Name" vbProcedure="false">"(주)새암건축"</definedName>
    <definedName function="false" hidden="true" localSheetId="6" name="HTML_PathFile" vbProcedure="false">"C:\가\f.htm"</definedName>
    <definedName function="false" hidden="true" localSheetId="6" name="HTML_Title" vbProcedure="false">"Book2"</definedName>
    <definedName function="false" hidden="true" localSheetId="6" name="HTR" vbProcedure="false">{#N/A,#N/A,FALSE,"이태원철근"}</definedName>
    <definedName function="false" hidden="true" localSheetId="6" name="IIJELLS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ii_val" vbProcedure="false">#REF!</definedName>
    <definedName function="false" hidden="false" localSheetId="6" name="ij_cod_blk" vbProcedure="false">#REF!</definedName>
    <definedName function="false" hidden="true" localSheetId="6" name="iouo" vbProcedure="false">{#N/A,#N/A,FALSE,"배수2"}</definedName>
    <definedName function="false" hidden="true" localSheetId="6" name="ioup" vbProcedure="false">{#N/A,#N/A,FALSE,"속도"}</definedName>
    <definedName function="false" hidden="false" localSheetId="6" name="isactirate" vbProcedure="false">#REF!</definedName>
    <definedName function="false" hidden="false" localSheetId="6" name="iv_check" vbProcedure="false">#REF!</definedName>
    <definedName function="false" hidden="false" localSheetId="6" name="iv_check2" vbProcedure="false">#REF!</definedName>
    <definedName function="false" hidden="false" localSheetId="6" name="ix_v" vbProcedure="false">#REF!</definedName>
    <definedName function="false" hidden="true" localSheetId="6" name="J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jg" vbProcedure="false">#REF!</definedName>
    <definedName function="false" hidden="false" localSheetId="6" name="jhjyg" vbProcedure="false">#REF!</definedName>
    <definedName function="false" hidden="true" localSheetId="6" name="jii" vbProcedure="false">{#N/A,#N/A,FALSE,"골재소요량";#N/A,#N/A,FALSE,"골재소요량"}</definedName>
    <definedName function="false" hidden="true" localSheetId="6" name="JJFOR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JJHSHHA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JJSUW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jklklj" vbProcedure="false">#REF!</definedName>
    <definedName function="false" hidden="true" localSheetId="6" name="JSH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jytrtysr" vbProcedure="false">{#N/A,#N/A,FALSE,"조골재"}</definedName>
    <definedName function="false" hidden="false" localSheetId="6" name="j_val" vbProcedure="false">#REF!</definedName>
    <definedName function="false" hidden="true" localSheetId="6" name="k" vbProcedure="false">{#N/A,#N/A,FALSE,"월공사비집계표양식 (7)";#N/A,#N/A,FALSE,"월공사비집계표양식 (7)"}</definedName>
    <definedName function="false" hidden="false" localSheetId="6" name="kjjh" vbProcedure="false">#REF!</definedName>
    <definedName function="false" hidden="true" localSheetId="6" name="KKA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DAW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DI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DUEK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ISJJ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K" vbProcedure="false">#REF!</definedName>
    <definedName function="false" hidden="true" localSheetId="6" name="KKK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KDJJ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KEEP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KSJ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KSSL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SIIEJ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SJJWUJ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KSJWEI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knj" vbProcedure="false">{#N/A,#N/A,FALSE,"혼합골재"}</definedName>
    <definedName function="false" hidden="true" localSheetId="6" name="ktf" vbProcedure="false">#REF!</definedName>
    <definedName function="false" hidden="true" localSheetId="6" name="kty" vbProcedure="false">#REF!</definedName>
    <definedName function="false" hidden="true" localSheetId="6" name="kytjnjr" vbProcedure="false">{#N/A,#N/A,FALSE,"토공2"}</definedName>
    <definedName function="false" hidden="true" localSheetId="6" name="LAK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Lbox1" vbProcedure="false">#REF!</definedName>
    <definedName function="false" hidden="false" localSheetId="6" name="LF" vbProcedure="false">#REF!</definedName>
    <definedName function="false" hidden="false" localSheetId="6" name="lf_block" vbProcedure="false">#REF!</definedName>
    <definedName function="false" hidden="true" localSheetId="6" name="lijop" vbProcedure="false">{#N/A,#N/A,FALSE,"배수1"}</definedName>
    <definedName function="false" hidden="false" localSheetId="6" name="LL" vbProcedure="false">#REF!</definedName>
    <definedName function="false" hidden="true" localSheetId="6" name="LLDIEKK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LLK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LLLS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LLLS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LLSIEKDKD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LLSKEIE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lo" vbProcedure="false">{#N/A,#N/A,FALSE,"2~8번"}</definedName>
    <definedName function="false" hidden="false" localSheetId="6" name="LS" vbProcedure="false">#REF!</definedName>
    <definedName function="false" hidden="false" localSheetId="6" name="Lsd" vbProcedure="false">#REF!</definedName>
    <definedName function="false" hidden="true" localSheetId="6" name="m" vbProcedure="false">#REF!</definedName>
    <definedName function="false" hidden="false" localSheetId="6" name="Main" vbProcedure="false">#REF!</definedName>
    <definedName function="false" hidden="false" localSheetId="6" name="MAINPART" vbProcedure="false">#REF!</definedName>
    <definedName function="false" hidden="false" localSheetId="6" name="maintitle_top" vbProcedure="false">#REF!</definedName>
    <definedName function="false" hidden="false" localSheetId="6" name="MMM" vbProcedure="false">blankmacro1</definedName>
    <definedName function="false" hidden="false" localSheetId="6" name="MONEY" vbProcedure="false">#REF!,#REF!</definedName>
    <definedName function="false" hidden="true" localSheetId="6" name="n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NEWNAME" vbProcedure="false">{#N/A,#N/A,FALSE,"CCTV"}</definedName>
    <definedName function="false" hidden="false" localSheetId="6" name="now_ef" vbProcedure="false">#REF!</definedName>
    <definedName function="false" hidden="false" localSheetId="6" name="now_iv" vbProcedure="false">#REF!</definedName>
    <definedName function="false" hidden="false" localSheetId="6" name="n_x" vbProcedure="false">#REF!</definedName>
    <definedName function="false" hidden="false" localSheetId="6" name="n_x1" vbProcedure="false">#REF!</definedName>
    <definedName function="false" hidden="false" localSheetId="6" name="n_y" vbProcedure="false">#REF!</definedName>
    <definedName function="false" hidden="true" localSheetId="6" name="o" vbProcedure="false">{#N/A,#N/A,FALSE,"월공사비집계표양식 (7)";#N/A,#N/A,FALSE,"월공사비집계표양식 (7)"}</definedName>
    <definedName function="false" hidden="true" localSheetId="6" name="ODD" vbProcedure="false">{#N/A,#N/A,FALSE,"명세표"}</definedName>
    <definedName function="false" hidden="true" localSheetId="6" name="ODH" vbProcedure="false">#REF!</definedName>
    <definedName function="false" hidden="true" localSheetId="6" name="OH" vbProcedure="false">{#N/A,#N/A,FALSE,"명세표"}</definedName>
    <definedName function="false" hidden="true" localSheetId="6" name="OHH" vbProcedure="false">{#N/A,#N/A,FALSE,"명세표"}</definedName>
    <definedName function="false" hidden="true" localSheetId="6" name="oi8uip" vbProcedure="false">{#N/A,#N/A,FALSE,"이정표"}</definedName>
    <definedName function="false" hidden="true" localSheetId="6" name="oik" vbProcedure="false">{#N/A,#N/A,FALSE,"2~8번"}</definedName>
    <definedName function="false" hidden="true" localSheetId="6" name="oiuyo" vbProcedure="false">{#N/A,#N/A,FALSE,"부대1"}</definedName>
    <definedName function="false" hidden="true" localSheetId="6" name="old예산" vbProcedure="false">{#N/A,#N/A,TRUE,"손익보고"}</definedName>
    <definedName function="false" hidden="false" localSheetId="6" name="OO" vbProcedure="false">#REF!</definedName>
    <definedName function="false" hidden="false" localSheetId="6" name="OOO" vbProcedure="false">#REF!</definedName>
    <definedName function="false" hidden="true" localSheetId="6" name="OP" vbProcedure="false">#REF!</definedName>
    <definedName function="false" hidden="true" localSheetId="6" name="ouio" vbProcedure="false">{#N/A,#N/A,FALSE,"부대2"}</definedName>
    <definedName function="false" hidden="false" localSheetId="6" name="pass_x" vbProcedure="false">#REF!</definedName>
    <definedName function="false" hidden="false" localSheetId="6" name="pass_x2" vbProcedure="false">#REF!</definedName>
    <definedName function="false" hidden="false" localSheetId="6" name="pass_x3" vbProcedure="false">#REF!</definedName>
    <definedName function="false" hidden="false" localSheetId="6" name="PIPE40" vbProcedure="false">#REF!</definedName>
    <definedName function="false" hidden="false" localSheetId="6" name="PlanRate" vbProcedure="false">#REF!</definedName>
    <definedName function="false" hidden="true" localSheetId="6" name="plus" vbProcedure="false">{#N/A,#N/A,FALSE,"Sheet1"}</definedName>
    <definedName function="false" hidden="true" localSheetId="6" name="plus견적서" vbProcedure="false">{#N/A,#N/A,FALSE,"Sheet1"}</definedName>
    <definedName function="false" hidden="false" localSheetId="6" name="PPP" vbProcedure="false">#REF!</definedName>
    <definedName function="false" hidden="false" localSheetId="6" name="Pr" vbProcedure="false">#REF!</definedName>
    <definedName function="false" hidden="false" localSheetId="6" name="PracRate" vbProcedure="false">#REF!</definedName>
    <definedName function="false" hidden="false" localSheetId="6" name="prg" vbProcedure="false">#REF!</definedName>
    <definedName function="false" hidden="false" localSheetId="6" name="PRINT_AREA_MI" vbProcedure="false">#REF!</definedName>
    <definedName function="false" hidden="false" localSheetId="6" name="PRINT_TITLES_MI" vbProcedure="false">#REF!</definedName>
    <definedName function="false" hidden="false" localSheetId="6" name="PUMP" vbProcedure="false">#REF!</definedName>
    <definedName function="false" hidden="true" localSheetId="6" name="Q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Q3WEE" vbProcedure="false">{#N/A,#N/A,FALSE,"조골재"}</definedName>
    <definedName function="false" hidden="true" localSheetId="6" name="QA" vbProcedure="false">#REF!</definedName>
    <definedName function="false" hidden="true" localSheetId="6" name="qkqh1" vbProcedure="false">{#N/A,#N/A,FALSE,"명세표"}</definedName>
    <definedName function="false" hidden="true" localSheetId="6" name="qq" vbProcedure="false">{#N/A,#N/A,FALSE,"단가표지"}</definedName>
    <definedName function="false" hidden="false" localSheetId="6" name="QQQ" vbProcedure="false">#REF!</definedName>
    <definedName function="false" hidden="false" localSheetId="6" name="qqqq" vbProcedure="false">dlog_show</definedName>
    <definedName function="false" hidden="true" localSheetId="6" name="QW" vbProcedure="false">{#N/A,#N/A,FALSE,"이태원철근"}</definedName>
    <definedName function="false" hidden="true" localSheetId="6" name="QWE" vbProcedure="false">{#N/A,#N/A,FALSE,"이태원철근"}</definedName>
    <definedName function="false" hidden="true" localSheetId="6" name="QWER" vbProcedure="false">{#N/A,#N/A,FALSE,"이태원철근"}</definedName>
    <definedName function="false" hidden="true" localSheetId="6" name="RFYIFIOYGOPIO" vbProcedure="false">#REF!</definedName>
    <definedName function="false" hidden="false" localSheetId="6" name="rkatnwl" vbProcedure="false">blankmacro1</definedName>
    <definedName function="false" hidden="true" localSheetId="6" name="rkskek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rlr" vbProcedure="false">#REF!</definedName>
    <definedName function="false" hidden="true" localSheetId="6" name="Royalty" vbProcedure="false">{#N/A,#N/A,FALSE,"Sheet1"}</definedName>
    <definedName function="false" hidden="false" localSheetId="6" name="RR" vbProcedure="false">#REF!</definedName>
    <definedName function="false" hidden="true" localSheetId="6" name="rrr" vbProcedure="false">{#N/A,#N/A,FALSE,"월공사비집계표양식 (7)";#N/A,#N/A,FALSE,"월공사비집계표양식 (7)"}</definedName>
    <definedName function="false" hidden="true" localSheetId="6" name="RT" vbProcedure="false">{#N/A,#N/A,FALSE,"이태원철근"}</definedName>
    <definedName function="false" hidden="true" localSheetId="6" name="rwe6vtd" vbProcedure="false">{#N/A,#N/A,FALSE,"표지목차"}</definedName>
    <definedName function="false" hidden="true" localSheetId="6" name="RWER" vbProcedure="false">{#N/A,#N/A,FALSE,"제목"}</definedName>
    <definedName function="false" hidden="true" localSheetId="6" name="ryescerfwe" vbProcedure="false">{#N/A,#N/A,FALSE,"부대2"}</definedName>
    <definedName function="false" hidden="true" localSheetId="6" name="r견적" vbProcedure="false">{#N/A,#N/A,FALSE,"월공사비집계표양식 (7)";#N/A,#N/A,FALSE,"월공사비집계표양식 (7)"}</definedName>
    <definedName function="false" hidden="true" localSheetId="6" name="sad" vbProcedure="false">{#N/A,#N/A,FALSE,"이태원철근"}</definedName>
    <definedName function="false" hidden="false" localSheetId="6" name="sanch_2" vbProcedure="false">#REF!</definedName>
    <definedName function="false" hidden="false" localSheetId="6" name="sanch_3" vbProcedure="false">#REF!</definedName>
    <definedName function="false" hidden="false" localSheetId="6" name="sanch_4" vbProcedure="false">#REF!</definedName>
    <definedName function="false" hidden="false" localSheetId="6" name="sd" vbProcedure="false">#REF!</definedName>
    <definedName function="false" hidden="true" localSheetId="6" name="SDCFG\" vbProcedure="false">{#N/A,#N/A,FALSE,"운반시간"}</definedName>
    <definedName function="false" hidden="true" localSheetId="6" name="SDF" vbProcedure="false">#REF!</definedName>
    <definedName function="false" hidden="true" localSheetId="6" name="sdfg" vbProcedure="false">{#N/A,#N/A,FALSE,"이태원철근"}</definedName>
    <definedName function="false" hidden="true" localSheetId="6" name="sdfsgd" vbProcedure="false">{#N/A,#N/A,FALSE,"이태원철근"}</definedName>
    <definedName function="false" hidden="true" localSheetId="6" name="SDS" vbProcedure="false">{#N/A,#N/A,FALSE,"2~8번"}</definedName>
    <definedName function="false" hidden="true" localSheetId="6" name="SERVICE" vbProcedure="false">{#N/A,#N/A,FALSE,"이태원철근"}</definedName>
    <definedName function="false" hidden="true" localSheetId="6" name="SH" vbProcedure="false">{#N/A,#N/A,FALSE,"제목"}</definedName>
    <definedName function="false" hidden="true" localSheetId="6" name="SHH" vbProcedure="false">{#N/A,#N/A,FALSE,"주간공정";#N/A,#N/A,FALSE,"주간보고";#N/A,#N/A,FALSE,"주간공정표"}</definedName>
    <definedName function="false" hidden="true" localSheetId="6" name="SK" vbProcedure="false">{#N/A,#N/A,FALSE,"월공사비집계표양식 (7)";#N/A,#N/A,FALSE,"월공사비집계표양식 (7)"}</definedName>
    <definedName function="false" hidden="true" localSheetId="6" name="solver_opt" vbProcedure="false">#REF!</definedName>
    <definedName function="false" hidden="false" localSheetId="6" name="spi_pnt" vbProcedure="false">#REF!</definedName>
    <definedName function="false" hidden="false" localSheetId="6" name="sp_i_blk" vbProcedure="false">#REF!</definedName>
    <definedName function="false" hidden="true" localSheetId="6" name="ss" vbProcedure="false">{#N/A,#N/A,FALSE,"운반시간"}</definedName>
    <definedName function="false" hidden="false" localSheetId="6" name="st_day" vbProcedure="false">#REF!</definedName>
    <definedName function="false" hidden="false" localSheetId="6" name="st_month" vbProcedure="false">#REF!</definedName>
    <definedName function="false" hidden="false" localSheetId="6" name="st_monthday" vbProcedure="false">#REF!</definedName>
    <definedName function="false" hidden="false" localSheetId="6" name="SubDic" vbProcedure="false">#REF!</definedName>
    <definedName function="false" hidden="false" localSheetId="6" name="subs_pnt" vbProcedure="false">#REF!</definedName>
    <definedName function="false" hidden="false" localSheetId="6" name="subs_tn" vbProcedure="false">#REF!</definedName>
    <definedName function="false" hidden="true" localSheetId="6" name="SWS" vbProcedure="false">#REF!</definedName>
    <definedName function="false" hidden="false" localSheetId="6" name="T10M" vbProcedure="false">#REF!</definedName>
    <definedName function="false" hidden="false" localSheetId="6" name="T10P" vbProcedure="false">#REF!</definedName>
    <definedName function="false" hidden="false" localSheetId="6" name="tempActiAmount" vbProcedure="false">#REF!</definedName>
    <definedName function="false" hidden="false" localSheetId="6" name="TF" vbProcedure="false">#REF!</definedName>
    <definedName function="false" hidden="true" localSheetId="6" name="TN" vbProcedure="false">#REF!</definedName>
    <definedName function="false" hidden="false" localSheetId="6" name="TodayUnit" vbProcedure="false">#REF!</definedName>
    <definedName function="false" hidden="true" localSheetId="6" name="todl" vbProcedure="false">#REF!</definedName>
    <definedName function="false" hidden="false" localSheetId="6" name="totrcd" vbProcedure="false">#REF!</definedName>
    <definedName function="false" hidden="true" localSheetId="6" name="tr" vbProcedure="false">#REF!</definedName>
    <definedName function="false" hidden="false" localSheetId="6" name="TRent" vbProcedure="false">#REF!</definedName>
    <definedName function="false" hidden="true" localSheetId="6" name="tt" vbProcedure="false">{#N/A,#N/A,FALSE,"단가표지"}</definedName>
    <definedName function="false" hidden="false" localSheetId="6" name="ttgj_blk" vbProcedure="false">#REF!</definedName>
    <definedName function="false" hidden="false" localSheetId="6" name="ttgj_top" vbProcedure="false">#REF!</definedName>
    <definedName function="false" hidden="false" localSheetId="6" name="TTT" vbProcedure="false">#REF!</definedName>
    <definedName function="false" hidden="true" localSheetId="6" name="TTTT" vbProcedure="false">#REF!</definedName>
    <definedName function="false" hidden="true" localSheetId="6" name="tytju4tewete" vbProcedure="false">{#N/A,#N/A,FALSE,"속도"}</definedName>
    <definedName function="false" hidden="true" localSheetId="6" name="uhio8ou" vbProcedure="false">{#N/A,#N/A,FALSE,"포장2"}</definedName>
    <definedName function="false" hidden="true" localSheetId="6" name="uiok" vbProcedure="false">{#N/A,#N/A,FALSE,"표지목차"}</definedName>
    <definedName function="false" hidden="true" localSheetId="6" name="ujk" vbProcedure="false">{#N/A,#N/A,FALSE,"운반시간"}</definedName>
    <definedName function="false" hidden="false" localSheetId="6" name="unitcol" vbProcedure="false">#REF!</definedName>
    <definedName function="false" hidden="false" localSheetId="6" name="unit_top" vbProcedure="false">#REF!</definedName>
    <definedName function="false" hidden="true" localSheetId="6" name="uoi8p" vbProcedure="false">{#N/A,#N/A,FALSE,"운반시간"}</definedName>
    <definedName function="false" hidden="true" localSheetId="6" name="uoi8u" vbProcedure="false">{#N/A,#N/A,FALSE,"토공2"}</definedName>
    <definedName function="false" hidden="true" localSheetId="6" name="uoio" vbProcedure="false">{#N/A,#N/A,FALSE,"포장1";#N/A,#N/A,FALSE,"포장1"}</definedName>
    <definedName function="false" hidden="true" localSheetId="6" name="uoiup" vbProcedure="false">{#N/A,#N/A,FALSE,"구조1"}</definedName>
    <definedName function="false" hidden="false" localSheetId="6" name="used_xv" vbProcedure="false">#REF!</definedName>
    <definedName function="false" hidden="false" localSheetId="6" name="userzm" vbProcedure="false">#REF!</definedName>
    <definedName function="false" hidden="false" localSheetId="6" name="userzmcol" vbProcedure="false">#REF!</definedName>
    <definedName function="false" hidden="true" localSheetId="6" name="uyjesc" vbProcedure="false">{#N/A,#N/A,FALSE,"포장1";#N/A,#N/A,FALSE,"포장1"}</definedName>
    <definedName function="false" hidden="false" localSheetId="6" name="VAFP" vbProcedure="false">#REF!</definedName>
    <definedName function="false" hidden="true" localSheetId="6" name="VB" vbProcedure="false">{#N/A,#N/A,FALSE,"이태원철근"}</definedName>
    <definedName function="false" hidden="true" localSheetId="6" name="VBN" vbProcedure="false">{#N/A,#N/A,FALSE,"이태원철근"}</definedName>
    <definedName function="false" hidden="false" localSheetId="6" name="VBV" vbProcedure="false">#REF!</definedName>
    <definedName function="false" hidden="false" localSheetId="6" name="VCR" vbProcedure="false">#REF!</definedName>
    <definedName function="false" hidden="false" localSheetId="6" name="VDSVP" vbProcedure="false">#REF!</definedName>
    <definedName function="false" hidden="false" localSheetId="6" name="VHAF" vbProcedure="false">#REF!</definedName>
    <definedName function="false" hidden="false" localSheetId="6" name="VHMF" vbProcedure="false">#REF!</definedName>
    <definedName function="false" hidden="false" localSheetId="6" name="VMF" vbProcedure="false">#REF!</definedName>
    <definedName function="false" hidden="true" localSheetId="6" name="vwat" vbProcedure="false">{#N/A,#N/A,FALSE,"운반시간"}</definedName>
    <definedName function="false" hidden="true" localSheetId="6" name="w" vbProcedure="false">{#N/A,#N/A,FALSE,"CCTV"}</definedName>
    <definedName function="false" hidden="false" localSheetId="6" name="WEI" vbProcedure="false">#REF!</definedName>
    <definedName function="false" hidden="false" localSheetId="6" name="wessdd" vbProcedure="false">#REF!</definedName>
    <definedName function="false" hidden="true" localSheetId="6" name="win.VESSEL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win.VESSEL_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WLQ" vbProcedure="false">{#N/A,#N/A,FALSE,"명세표"}</definedName>
    <definedName function="false" hidden="true" localSheetId="6" name="wm.조골재1" vbProcedure="false">{#N/A,#N/A,FALSE,"조골재"}</definedName>
    <definedName function="false" hidden="true" localSheetId="6" name="woogi" vbProcedure="false">#REF!</definedName>
    <definedName function="false" hidden="true" localSheetId="6" name="woogi2" vbProcedure="false">#REF!</definedName>
    <definedName function="false" hidden="true" localSheetId="6" name="WQR" vbProcedure="false">{#N/A,#N/A,FALSE,"Sheet1"}</definedName>
    <definedName function="false" hidden="true" localSheetId="6" name="WRITE" vbProcedure="false">{#N/A,#N/A,FALSE,"CCTV"}</definedName>
    <definedName function="false" hidden="true" localSheetId="6" name="wrn.111." vbProcedure="false">{#N/A,#N/A,FALSE,"제목"}</definedName>
    <definedName function="false" hidden="true" localSheetId="6" name="wrn.2번." vbProcedure="false">{#N/A,#N/A,FALSE,"2~8번"}</definedName>
    <definedName function="false" hidden="true" localSheetId="6" name="wrn.97." vbProcedure="false">{#N/A,#N/A,FALSE,"지침";#N/A,#N/A,FALSE,"환경분석";#N/A,#N/A,FALSE,"Sheet16"}</definedName>
    <definedName function="false" hidden="true" localSheetId="6" name="wrn.97년._.사업계획._.및._.예산지침." vbProcedure="false">{#N/A,#N/A,TRUE,"1";#N/A,#N/A,TRUE,"2";#N/A,#N/A,TRUE,"3";#N/A,#N/A,TRUE,"4";#N/A,#N/A,TRUE,"5";#N/A,#N/A,TRUE,"6";#N/A,#N/A,TRUE,"7"}</definedName>
    <definedName function="false" hidden="true" localSheetId="6" name="WRN.98." vbProcedure="false">{#N/A,#N/A,FALSE,"지침";#N/A,#N/A,FALSE,"환경분석";#N/A,#N/A,FALSE,"Sheet16"}</definedName>
    <definedName function="false" hidden="true" localSheetId="6" name="wrn.ac30prn." vbProcedure="false">{#N/A,#N/A,FALSE,"별표20 ";#N/A,#N/A,FALSE,"부표";#N/A,#N/A,FALSE,"품셈내역";#N/A,#N/A,FALSE,"품셈집계";#N/A,#N/A,FALSE,"내역서";#N/A,#N/A,FALSE,"집계표";#N/A,#N/A,FALSE,"표지";#N/A,#N/A,FALSE,"별표총괄표"}</definedName>
    <definedName function="false" hidden="true" localSheetId="6" name="wrn.BM." vbProcedure="false">{#N/A,#N/A,FALSE,"CCTV"}</definedName>
    <definedName function="false" hidden="true" localSheetId="6" name="wrn.test1." vbProcedure="false">{#N/A,#N/A,FALSE,"명세표"}</definedName>
    <definedName function="false" hidden="true" localSheetId="6" name="wrn.VESSEL및N2._.구입사양서.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wrn.ㅁㅁㅁ." vbProcedure="false">{#N/A,#N/A,FALSE,"월공사비집계표양식 (7)";#N/A,#N/A,FALSE,"월공사비집계표양식 (7)"}</definedName>
    <definedName function="false" hidden="true" localSheetId="6" name="wrn.건물기초." vbProcedure="false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function="false" hidden="true" localSheetId="6" name="wrn.건설기계사업소._.상반기보고." vbProcedure="false">{#N/A,#N/A,FALSE,"사업총괄";#N/A,#N/A,FALSE,"장비사업";#N/A,#N/A,FALSE,"철구사업";#N/A,#N/A,FALSE,"준설사업"}</definedName>
    <definedName function="false" hidden="true" localSheetId="6" name="wrn.골재소요량." vbProcedure="false">{#N/A,#N/A,FALSE,"골재소요량";#N/A,#N/A,FALSE,"골재소요량"}</definedName>
    <definedName function="false" hidden="true" localSheetId="6" name="wrn.교육청." vbProcedure="false">{#N/A,#N/A,FALSE,"전력간선"}</definedName>
    <definedName function="false" hidden="true" localSheetId="6" name="wrn.구조2." vbProcedure="false">{#N/A,#N/A,FALSE,"구조2"}</definedName>
    <definedName function="false" hidden="true" localSheetId="6" name="wrn.단가표지." vbProcedure="false">{#N/A,#N/A,FALSE,"단가표지"}</definedName>
    <definedName function="false" hidden="true" localSheetId="6" name="wrn.배수1." vbProcedure="false">{#N/A,#N/A,FALSE,"배수1"}</definedName>
    <definedName function="false" hidden="true" localSheetId="6" name="wrn.배수2." vbProcedure="false">{#N/A,#N/A,FALSE,"배수2"}</definedName>
    <definedName function="false" hidden="true" localSheetId="6" name="wrn.변경예산." vbProcedure="false">{#N/A,#N/A,FALSE,"변경관리예산";#N/A,#N/A,FALSE,"변경장비예산";#N/A,#N/A,FALSE,"변경준설예산";#N/A,#N/A,FALSE,"변경철구예산"}</definedName>
    <definedName function="false" hidden="true" localSheetId="6" name="wrn.부대1." vbProcedure="false">{#N/A,#N/A,FALSE,"부대1"}</definedName>
    <definedName function="false" hidden="true" localSheetId="6" name="wrn.부대2." vbProcedure="false">{#N/A,#N/A,FALSE,"부대2"}</definedName>
    <definedName function="false" hidden="true" localSheetId="6" name="wrn.부산주경기장.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wrn.사업현황." vbProcedure="false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function="false" hidden="true" localSheetId="6" name="wrn.속도." vbProcedure="false">{#N/A,#N/A,FALSE,"속도"}</definedName>
    <definedName function="false" hidden="true" localSheetId="6" name="wrn.손익._.보고." vbProcedure="false">{#N/A,#N/A,TRUE,"손익보고"}</definedName>
    <definedName function="false" hidden="true" localSheetId="6" name="wrn.손익보고.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localSheetId="6" name="wrn.수." vbProcedure="false">{#N/A,"수불부",FALSE,"사급자재수불서";#N/A,"수불부",FALSE,"사급자재수불서"}</definedName>
    <definedName function="false" hidden="true" localSheetId="6" name="wrn.신용찬." vbProcedure="false">{#N/A,#N/A,TRUE,"토적및재료집계";#N/A,#N/A,TRUE,"토적및재료집계";#N/A,#N/A,TRUE,"단위량"}</definedName>
    <definedName function="false" hidden="true" localSheetId="6" name="wrn.업체별._.견적공사명." vbProcedure="false">{"SJ - 기본 보기",#N/A,FALSE,"공사별 외주견적"}</definedName>
    <definedName function="false" hidden="true" localSheetId="6" name="wrn.연동제." vbProcedure="false">{#N/A,#N/A,TRUE,"총괄"}</definedName>
    <definedName function="false" hidden="true" localSheetId="6" name="wrn.예상손익." vbProcedure="false">{#N/A,#N/A,FALSE,"예상손익";#N/A,#N/A,FALSE,"관리분석";#N/A,#N/A,FALSE,"장비분석";#N/A,#N/A,FALSE,"준설분석";#N/A,#N/A,FALSE,"철구분석"}</definedName>
    <definedName function="false" hidden="true" localSheetId="6" name="wrn.운반시간." vbProcedure="false">{#N/A,#N/A,FALSE,"운반시간"}</definedName>
    <definedName function="false" hidden="true" localSheetId="6" name="wrn.이정표." vbProcedure="false">{#N/A,#N/A,FALSE,"이정표"}</definedName>
    <definedName function="false" hidden="true" localSheetId="6" name="wrn.이태원._.철근." vbProcedure="false">{#N/A,#N/A,FALSE,"이태원철근"}</definedName>
    <definedName function="false" hidden="true" localSheetId="6" name="wrn.일위대가." vbProcedure="false">{#N/A,#N/A,TRUE,"대가1"}</definedName>
    <definedName function="false" hidden="true" localSheetId="6" name="wrn.전열선출서." vbProcedure="false">{#N/A,#N/A,FALSE,"전열산출서"}</definedName>
    <definedName function="false" hidden="true" localSheetId="6" name="wrn.조골재." vbProcedure="false">{#N/A,#N/A,FALSE,"조골재"}</definedName>
    <definedName function="false" hidden="true" localSheetId="6" name="wrn.주간보고." vbProcedure="false">{#N/A,#N/A,FALSE,"주간공정";#N/A,#N/A,FALSE,"주간보고";#N/A,#N/A,FALSE,"주간공정표"}</definedName>
    <definedName function="false" hidden="true" localSheetId="6" name="wrn.지수1.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localSheetId="6" name="wrn.집기비품보고서._.품목별._.및._.현장별._.집계표." vbProcedure="false">{#N/A,#N/A,FALSE,"Sheet6"}</definedName>
    <definedName function="false" hidden="true" localSheetId="6" name="wrn.철골집계표._.5칸." vbProcedure="false">{#N/A,#N/A,FALSE,"Sheet1"}</definedName>
    <definedName function="false" hidden="true" localSheetId="6" name="wrn.토공1." vbProcedure="false">{#N/A,#N/A,FALSE,"구조1"}</definedName>
    <definedName function="false" hidden="true" localSheetId="6" name="wrn.토공2." vbProcedure="false">{#N/A,#N/A,FALSE,"토공2"}</definedName>
    <definedName function="false" hidden="true" localSheetId="6" name="wrn.포장1." vbProcedure="false">{#N/A,#N/A,FALSE,"포장1";#N/A,#N/A,FALSE,"포장1"}</definedName>
    <definedName function="false" hidden="true" localSheetId="6" name="wrn.포장2." vbProcedure="false">{#N/A,#N/A,FALSE,"포장2"}</definedName>
    <definedName function="false" hidden="true" localSheetId="6" name="wrn.표지." vbProcedure="false">{#N/A,#N/A,FALSE,"표지"}</definedName>
    <definedName function="false" hidden="true" localSheetId="6" name="wrn.표지목차." vbProcedure="false">{#N/A,#N/A,FALSE,"표지목차"}</definedName>
    <definedName function="false" hidden="true" localSheetId="6" name="wrn.현장._.NCR._.분석." vbProcedure="false">{#N/A,#N/A,FALSE,"현장 NCR 분석";#N/A,#N/A,FALSE,"현장품질감사";#N/A,#N/A,FALSE,"현장품질감사"}</definedName>
    <definedName function="false" hidden="true" localSheetId="6" name="wrn.혼합골재." vbProcedure="false">{#N/A,#N/A,FALSE,"혼합골재"}</definedName>
    <definedName function="false" hidden="true" localSheetId="6" name="wtvegrh" vbProcedure="false">{#N/A,#N/A,FALSE,"포장2"}</definedName>
    <definedName function="false" hidden="true" localSheetId="6" name="wvyh" vbProcedure="false">{#N/A,#N/A,FALSE,"혼합골재"}</definedName>
    <definedName function="false" hidden="true" localSheetId="6" name="ww" vbProcedure="false">{#N/A,#N/A,FALSE,"골재소요량";#N/A,#N/A,FALSE,"골재소요량"}</definedName>
    <definedName function="false" hidden="false" localSheetId="6" name="www" vbProcedure="false">blankmacro1</definedName>
    <definedName function="false" hidden="false" localSheetId="6" name="wwwww" vbProcedure="false">blankmacro1</definedName>
    <definedName function="false" hidden="false" localSheetId="6" name="wwwwww" vbProcedure="false">blankmacro1</definedName>
    <definedName function="false" hidden="false" localSheetId="6" name="wwwwwwww" vbProcedure="false">blankmacro1</definedName>
    <definedName function="false" hidden="false" localSheetId="6" name="wwwwwwwwww" vbProcedure="false">blankmacro1</definedName>
    <definedName function="false" hidden="false" localSheetId="6" name="wwwwwwwwwwwwww" vbProcedure="false">blankmacro1</definedName>
    <definedName function="false" hidden="false" localSheetId="6" name="wwwwwwwwwwwwwwwww" vbProcedure="false">blankmacro1</definedName>
    <definedName function="false" hidden="true" localSheetId="6" name="XCVBGSDFGSER" vbProcedure="false">#REF!</definedName>
    <definedName function="false" hidden="true" localSheetId="6" name="y5bewy5vgr" vbProcedure="false">{#N/A,#N/A,FALSE,"운반시간"}</definedName>
    <definedName function="false" hidden="true" localSheetId="6" name="YBG견적서통" vbProcedure="false">{#N/A,#N/A,TRUE,"손익보고"}</definedName>
    <definedName function="false" hidden="false" localSheetId="6" name="YOUNG" vbProcedure="false">#REF!</definedName>
    <definedName function="false" hidden="true" localSheetId="6" name="yuy" vbProcedure="false">{#N/A,#N/A,FALSE,"단가표지"}</definedName>
    <definedName function="false" hidden="true" localSheetId="6" name="yvdfvhd" vbProcedure="false">{#N/A,#N/A,FALSE,"이정표"}</definedName>
    <definedName function="false" hidden="true" localSheetId="6" name="ywrtvwvy" vbProcedure="false">{#N/A,#N/A,FALSE,"부대1"}</definedName>
    <definedName function="false" hidden="false" localSheetId="6" name="y_errchk" vbProcedure="false">#REF!</definedName>
    <definedName function="false" hidden="false" localSheetId="6" name="zoomcolumn" vbProcedure="false">#REF!</definedName>
    <definedName function="false" hidden="false" localSheetId="6" name="zoomrate" vbProcedure="false">#REF!</definedName>
    <definedName function="false" hidden="true" localSheetId="6" name="ZXC" vbProcedure="false">{#N/A,#N/A,FALSE,"이태원철근"}</definedName>
    <definedName function="false" hidden="false" localSheetId="6" name="zz" vbProcedure="false">#REF!</definedName>
    <definedName function="false" hidden="true" localSheetId="6" name="Z_1F713D72_E6F4_11D3_8E1E_00A0244E179B_.wvu.Cols" vbProcedure="false">#REF!</definedName>
    <definedName function="false" hidden="true" localSheetId="6" name="Z_1F713D72_E6F4_11D3_8E1E_00A0244E179B_.wvu.PrintArea" vbProcedure="false">#REF!</definedName>
    <definedName function="false" hidden="true" localSheetId="6" name="Z_BFEEB821_E6AD_11D3_88E4_00E09870C276_.wvu.PrintArea" vbProcedure="false">#REF!</definedName>
    <definedName function="false" hidden="true" localSheetId="6" name="Z_F6AB6A24_E5D5_11D3_B573_00104BA1686B_.wvu.Cols" vbProcedure="false">#REF!,#REF!,#REF!</definedName>
    <definedName function="false" hidden="false" localSheetId="6" name="\a" vbProcedure="false">#REF!</definedName>
    <definedName function="false" hidden="false" localSheetId="6" name="\b" vbProcedure="false">#REF!</definedName>
    <definedName function="false" hidden="false" localSheetId="6" name="\c" vbProcedure="false">#REF!</definedName>
    <definedName function="false" hidden="false" localSheetId="6" name="\l" vbProcedure="false">#REF!</definedName>
    <definedName function="false" hidden="false" localSheetId="6" name="\q" vbProcedure="false">#REF!</definedName>
    <definedName function="false" hidden="false" localSheetId="6" name="\t" vbProcedure="false">#REF!</definedName>
    <definedName function="false" hidden="false" localSheetId="6" name="\v" vbProcedure="false">#REF!</definedName>
    <definedName function="false" hidden="false" localSheetId="6" name="\x" vbProcedure="false">#REF!</definedName>
    <definedName function="false" hidden="false" localSheetId="6" name="\z" vbProcedure="false">#REF!</definedName>
    <definedName function="false" hidden="false" localSheetId="6" name="_05._위생설비공사" vbProcedure="false">#REF!</definedName>
    <definedName function="false" hidden="false" localSheetId="6" name="_1218000897" vbProcedure="false">#REF!</definedName>
    <definedName function="false" hidden="true" localSheetId="6" name="_13__wrn.Ã¶°ñÁý°èÇ_._.5Ä­." vbProcedure="false">{#N/A,#N/A,FALSE,"Sheet1"}</definedName>
    <definedName function="false" hidden="true" localSheetId="6" name="_26¤§¤_¤¡" vbProcedure="false">{#N/A,#N/A,FALSE,"Sheet1"}</definedName>
    <definedName function="false" hidden="true" localSheetId="6" name="_28_0__123Grap" vbProcedure="false">#REF!</definedName>
    <definedName function="false" hidden="true" localSheetId="6" name="_30_0_Dist_" vbProcedure="false">#REF!</definedName>
    <definedName function="false" hidden="true" localSheetId="6" name="_38wrn.Ã¶°ñÁý°èÇ_._.5Ä­." vbProcedure="false">{#N/A,#N/A,FALSE,"Sheet1"}</definedName>
    <definedName function="false" hidden="true" localSheetId="6" name="_6__¤§¤_¤¡" vbProcedure="false">{#N/A,#N/A,FALSE,"Sheet1"}</definedName>
    <definedName function="false" hidden="true" localSheetId="6" name="_Dist_Bin" vbProcedure="false">#REF!</definedName>
    <definedName function="false" hidden="true" localSheetId="6" name="_Dist_Values" vbProcedure="false">#REF!</definedName>
    <definedName function="false" hidden="true" localSheetId="6" name="_ECS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_Fill" vbProcedure="false">#REF!</definedName>
    <definedName function="false" hidden="true" localSheetId="6" name="_KD2" vbProcedure="false">#REF!</definedName>
    <definedName function="false" hidden="true" localSheetId="6" name="_KD3" vbProcedure="false">#REF!</definedName>
    <definedName function="false" hidden="true" localSheetId="6" name="_Key1" vbProcedure="false">#REF!</definedName>
    <definedName function="false" hidden="true" localSheetId="6" name="_Key11" vbProcedure="false">#REF!</definedName>
    <definedName function="false" hidden="true" localSheetId="6" name="_Key2" vbProcedure="false">#REF!</definedName>
    <definedName function="false" hidden="true" localSheetId="6" name="_Key3" vbProcedure="false">#REF!</definedName>
    <definedName function="false" hidden="true" localSheetId="6" name="_KHM111" vbProcedure="false">{#N/A,#N/A,FALSE,"제목"}</definedName>
    <definedName function="false" hidden="true" localSheetId="6" name="_KHM888" vbProcedure="false">{#N/A,#N/A,FALSE,"제목"}</definedName>
    <definedName function="false" hidden="true" localSheetId="6" name="_MatInverse_In" vbProcedure="false">#REF!</definedName>
    <definedName function="false" hidden="true" localSheetId="6" name="_MatMult_A" vbProcedure="false">#REF!</definedName>
    <definedName function="false" hidden="true" localSheetId="6" name="_MatMult_AxB" vbProcedure="false">#REF!</definedName>
    <definedName function="false" hidden="true" localSheetId="6" name="_MatMult_B" vbProcedure="false">#REF!</definedName>
    <definedName function="false" hidden="true" localSheetId="6" name="_Order1" vbProcedure="false">255</definedName>
    <definedName function="false" hidden="true" localSheetId="6" name="_Order2" vbProcedure="false">255</definedName>
    <definedName function="false" hidden="true" localSheetId="6" name="_Parse_In" vbProcedure="false">#REF!</definedName>
    <definedName function="false" hidden="false" localSheetId="6" name="_px1" vbProcedure="false">#REF!</definedName>
    <definedName function="false" hidden="false" localSheetId="6" name="_px2" vbProcedure="false">#REF!</definedName>
    <definedName function="false" hidden="true" localSheetId="6" name="_Regression_Out" vbProcedure="false">#REF!</definedName>
    <definedName function="false" hidden="true" localSheetId="6" name="_Regression_X" vbProcedure="false">#REF!</definedName>
    <definedName function="false" hidden="true" localSheetId="6" name="_Sort" vbProcedure="false">#REF!</definedName>
    <definedName function="false" hidden="false" localSheetId="6" name="_stp1" vbProcedure="false">#REF!</definedName>
    <definedName function="false" hidden="false" localSheetId="6" name="_stp10" vbProcedure="false">#REF!</definedName>
    <definedName function="false" hidden="false" localSheetId="6" name="_stp11" vbProcedure="false">#REF!</definedName>
    <definedName function="false" hidden="false" localSheetId="6" name="_\D" vbProcedure="false">#REF!</definedName>
    <definedName function="false" hidden="false" localSheetId="6" name="_\X" vbProcedure="false">#REF!</definedName>
    <definedName function="false" hidden="true" localSheetId="6" name="__123Graph_A" vbProcedure="false">#REF!</definedName>
    <definedName function="false" hidden="true" localSheetId="6" name="__ECS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__KD2" vbProcedure="false">#REF!</definedName>
    <definedName function="false" hidden="true" localSheetId="6" name="__KD3" vbProcedure="false">#REF!</definedName>
    <definedName function="false" hidden="true" localSheetId="6" name="__Key11" vbProcedure="false">#REF!</definedName>
    <definedName function="false" hidden="true" localSheetId="6" name="ㄱ" vbProcedure="false">{#N/A,#N/A,FALSE,"이태원철근"}</definedName>
    <definedName function="false" hidden="true" localSheetId="6" name="ㄱ3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ㄱㄱ" vbProcedure="false">{#N/A,#N/A,FALSE,"명세표"}</definedName>
    <definedName function="false" hidden="true" localSheetId="6" name="ㄱㄽㅎ" vbProcedure="false">{#N/A,#N/A,FALSE,"전력간선"}</definedName>
    <definedName function="false" hidden="true" localSheetId="6" name="ㄱㅈㅎ" vbProcedure="false">#REF!</definedName>
    <definedName function="false" hidden="true" localSheetId="6" name="ㄳㄳㄳㄳ" vbProcedure="false">{"'용역비'!$A$4:$C$8"}</definedName>
    <definedName function="false" hidden="true" localSheetId="6" name="ㄴㄱㄹ" vbProcedure="false">#REF!</definedName>
    <definedName function="false" hidden="true" localSheetId="6" name="ㄴㄴ" vbProcedure="false">{#N/A,#N/A,FALSE,"CCTV"}</definedName>
    <definedName function="false" hidden="true" localSheetId="6" name="ㄴㄴㄴ" vbProcedure="false">{#N/A,#N/A,FALSE,"명세표"}</definedName>
    <definedName function="false" hidden="true" localSheetId="6" name="ㄴㄴㄴㄴ" vbProcedure="false">#REF!</definedName>
    <definedName function="false" hidden="true" localSheetId="6" name="ㄴㄴㄴㄴㄴ" vbProcedure="false">#REF!</definedName>
    <definedName function="false" hidden="true" localSheetId="6" name="ㄴㄹ" vbProcedure="false">#REF!</definedName>
    <definedName function="false" hidden="true" localSheetId="6" name="ㄴㄹㄴㅁㅎㅇㄹ" vbProcedure="false">{#N/A,"수불부",FALSE,"사급자재수불서";#N/A,"수불부",FALSE,"사급자재수불서"}</definedName>
    <definedName function="false" hidden="true" localSheetId="6" name="ㄴㅀ" vbProcedure="false">#REF!</definedName>
    <definedName function="false" hidden="true" localSheetId="6" name="ㄴㅁ" vbProcedure="false">#REF!</definedName>
    <definedName function="false" hidden="true" localSheetId="6" name="ㄴㅁㄴㅇㄹ" vbProcedure="false">#REF!</definedName>
    <definedName function="false" hidden="true" localSheetId="6" name="ㄴㅁㄻㄴㅇㄹㅇㄴㄹ" vbProcedure="false">{#N/A,"수불부",FALSE,"사급자재수불서";#N/A,"수불부",FALSE,"사급자재수불서"}</definedName>
    <definedName function="false" hidden="false" localSheetId="6" name="ㄴㅇ" vbProcedure="false">dlog_show</definedName>
    <definedName function="false" hidden="true" localSheetId="6" name="ㄴㅇㄹㄴ" vbProcedure="false">{#N/A,"수불부",FALSE,"사급자재수불서";#N/A,"수불부",FALSE,"사급자재수불서"}</definedName>
    <definedName function="false" hidden="true" localSheetId="6" name="ㄴㅇㄹㄴㄹ" vbProcedure="false">{"'Sheet1'!$D$19","'Sheet1'!$B$22:$E$22"}</definedName>
    <definedName function="false" hidden="true" localSheetId="6" name="ㄴㅇㄹㄴㅁㅇㄹㄴㅇ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ㄴㅇㄹㄷ" vbProcedure="false">#REF!</definedName>
    <definedName function="false" hidden="true" localSheetId="6" name="ㄴㅇㄻ" vbProcedure="false">#REF!</definedName>
    <definedName function="false" hidden="false" localSheetId="6" name="ㄵㄷ" vbProcedure="false">dlog_show</definedName>
    <definedName function="false" hidden="true" localSheetId="6" name="ㄷ" vbProcedure="false">{#N/A,#N/A,FALSE,"이태원철근"}</definedName>
    <definedName function="false" hidden="true" localSheetId="6" name="ㄷㄷ" vbProcedure="false">#REF!</definedName>
    <definedName function="false" hidden="true" localSheetId="6" name="ㄷㄷㄷㄷ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ㄷㄹ1" vbProcedure="false">#REF!</definedName>
    <definedName function="false" hidden="true" localSheetId="6" name="ㄷㅎㄹㅇ" vbProcedure="false">#REF!</definedName>
    <definedName function="false" hidden="true" localSheetId="6" name="ㄹ" vbProcedure="false">{#N/A,#N/A,FALSE,"명세표"}</definedName>
    <definedName function="false" hidden="true" localSheetId="6" name="ㄹㄴ" vbProcedure="false">#REF!</definedName>
    <definedName function="false" hidden="true" localSheetId="6" name="ㄹㄴㅁㄹㄴ" vbProcedure="false">{#N/A,"수불부",FALSE,"사급자재수불서";#N/A,"수불부",FALSE,"사급자재수불서"}</definedName>
    <definedName function="false" hidden="true" localSheetId="6" name="ㄹㄴㅁㄹㅇㄴ" vbProcedure="false">{"'Sheet1'!$D$19","'Sheet1'!$B$22:$E$22"}</definedName>
    <definedName function="false" hidden="true" localSheetId="6" name="ㄹ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ㄹㄹㄹ" vbProcedure="false">#REF!</definedName>
    <definedName function="false" hidden="true" localSheetId="6" name="ㄹㄹㅇㄴ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ㄹㄹㅏ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ㄹㅇ" vbProcedure="false">{#N/A,#N/A,FALSE,"도급대비시행율";#N/A,#N/A,FALSE,"결의서";#N/A,#N/A,FALSE,"내역서";#N/A,#N/A,FALSE,"도급예상"}</definedName>
    <definedName function="false" hidden="true" localSheetId="6" name="ㄹㅇ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ㄹㅇㄴㄹ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false" localSheetId="6" name="ㄹㅇㄴㄹㅇㄹㄴㄹㅇㄹㅇㄹㅇㄴ" vbProcedure="false">blankmacro1</definedName>
    <definedName function="false" hidden="true" localSheetId="6" name="ㄹㅇㄹㅇㄴ" vbProcedure="false">{#N/A,"수불부",FALSE,"사급자재수불서";#N/A,"수불부",FALSE,"사급자재수불서"}</definedName>
    <definedName function="false" hidden="true" localSheetId="6" name="ㄹㅇㅌㅇㄴㄱㄷ" vbProcedure="false">{#N/A,#N/A,FALSE,"포장2"}</definedName>
    <definedName function="false" hidden="true" localSheetId="6" name="ㄹ어미ㅏㄹ" vbProcedure="false">{"'Sheet1'!$D$19","'Sheet1'!$B$22:$E$22"}</definedName>
    <definedName function="false" hidden="true" localSheetId="6" name="ㄹ호" vbProcedure="false">#REF!</definedName>
    <definedName function="false" hidden="true" localSheetId="6" name="ㅀㅀ" vbProcedure="false">{"'Firr(선)'!$AS$1:$AY$62","'Firr(사)'!$AS$1:$AY$62","'Firr(회)'!$AS$1:$AY$62","'Firr(선)'!$L$1:$V$62","'Firr(사)'!$L$1:$V$62","'Firr(회)'!$L$1:$V$62"}</definedName>
    <definedName function="false" hidden="true" localSheetId="6" name="ㅀ허" vbProcedure="false">{#N/A,#N/A,FALSE,"CCTV"}</definedName>
    <definedName function="false" hidden="false" localSheetId="6" name="ㅁ500" vbProcedure="false">#REF!</definedName>
    <definedName function="false" hidden="false" localSheetId="6" name="ㅁ624" vbProcedure="false">#REF!</definedName>
    <definedName function="false" hidden="false" localSheetId="6" name="ㅁ786" vbProcedure="false">#REF!</definedName>
    <definedName function="false" hidden="true" localSheetId="6" name="ㅁㄴ" vbProcedure="false">#REF!</definedName>
    <definedName function="false" hidden="true" localSheetId="6" name="ㅁㄴㄴ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ㅁㄴㅇㄹㄴㄹ" vbProcedure="false">{#N/A,"수불부",FALSE,"사급자재수불서";#N/A,"수불부",FALSE,"사급자재수불서"}</definedName>
    <definedName function="false" hidden="true" localSheetId="6" name="ㅁㄴㅇㄻㄴㅇㄻㄴㄹ" vbProcedure="false">{#N/A,#N/A,FALSE,"명세표"}</definedName>
    <definedName function="false" hidden="true" localSheetId="6" name="ㅁㄴㅇㄻㄹ" vbProcedure="false">{#N/A,"수불부",FALSE,"사급자재수불서";#N/A,"수불부",FALSE,"사급자재수불서"}</definedName>
    <definedName function="false" hidden="true" localSheetId="6" name="ㅁㄴㅇㅁㄴㅇ" vbProcedure="false">#REF!</definedName>
    <definedName function="false" hidden="true" localSheetId="6" name="ㅁㄴㅇ류" vbProcedure="false">#REF!</definedName>
    <definedName function="false" hidden="true" localSheetId="6" name="ㅁㄴㅊㅍㅁㅌㅊ펌ㄴㅇㄹ" vbProcedure="false">#REF!</definedName>
    <definedName function="false" hidden="true" localSheetId="6" name="ㅁㄹ" vbProcedure="false">{#N/A,#N/A,TRUE,"총괄"}</definedName>
    <definedName function="false" hidden="true" localSheetId="6" name="ㅁㄹㅇㄴㅇㄹ" vbProcedure="false">{#N/A,"수불부",FALSE,"사급자재수불서";#N/A,"수불부",FALSE,"사급자재수불서"}</definedName>
    <definedName function="false" hidden="true" localSheetId="6" name="ㅁㄻㄴㅇㄹㄴㅇㄹㄴ" vbProcedure="false">#REF!</definedName>
    <definedName function="false" hidden="true" localSheetId="6" name="ㅁㄻㅇㄹㄴ" vbProcedure="false">{#N/A,"수불부",FALSE,"사급자재수불서";#N/A,"수불부",FALSE,"사급자재수불서"}</definedName>
    <definedName function="false" hidden="true" localSheetId="6" name="ㅁㅁ" vbProcedure="false">{#N/A,#N/A,FALSE,"지침";#N/A,#N/A,FALSE,"환경분석";#N/A,#N/A,FALSE,"Sheet16"}</definedName>
    <definedName function="false" hidden="true" localSheetId="6" name="ㅁㅁㅁ" vbProcedure="false">#REF!</definedName>
    <definedName function="false" hidden="true" localSheetId="6" name="ㅁㅁㅁㅁ" vbProcedure="false">{"'용역비'!$A$4:$C$8"}</definedName>
    <definedName function="false" hidden="true" localSheetId="6" name="ㅁㅁㅁㅁㅁㅁ" vbProcedure="false">#REF!</definedName>
    <definedName function="false" hidden="true" localSheetId="6" name="ㅁㅁㅁㅁㅁㅁㅁ" vbProcedure="false">{#N/A,#N/A,FALSE,"Sheet1"}</definedName>
    <definedName function="false" hidden="true" localSheetId="6" name="ㅁㅅㅅㅁㄱㅈ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ㅁㅇ" vbProcedure="false">#REF!</definedName>
    <definedName function="false" hidden="true" localSheetId="6" name="ㅁㅇㄴㅁ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ㅁㅇㄹㄴㄻ" vbProcedure="false">{"'Sheet1'!$D$19","'Sheet1'!$B$22:$E$22"}</definedName>
    <definedName function="false" hidden="true" localSheetId="6" name="ㅁㅇㄹㄴㅁㅇㄹㄴ" vbProcedure="false">{#N/A,"수불부",FALSE,"사급자재수불서";#N/A,"수불부",FALSE,"사급자재수불서"}</definedName>
    <definedName function="false" hidden="true" localSheetId="6" name="ㅁㅇㄹㄴㅇㄹㄴㅇㄹ" vbProcedure="false">{#N/A,"수불부",FALSE,"사급자재수불서";#N/A,"수불부",FALSE,"사급자재수불서"}</definedName>
    <definedName function="false" hidden="true" localSheetId="6" name="ㅁㅈㄴㅇ" vbProcedure="false">{#N/A,#N/A,FALSE,"전력간선"}</definedName>
    <definedName function="false" hidden="true" localSheetId="6" name="ㅁㅈㄷㅅㅂㄱ흎ㅊ퓨" vbProcedure="false">#REF!</definedName>
    <definedName function="false" hidden="true" localSheetId="6" name="ㅁㅊㅇㅍㅁㄴㅇㄻㄴㅇㄹ" vbProcedure="false">#REF!</definedName>
    <definedName function="false" hidden="true" localSheetId="6" name="ㅁ인ㅍㅁ닟ㅍㅁㄴㅇㄹ" vbProcedure="false">#REF!</definedName>
    <definedName function="false" hidden="true" localSheetId="6" name="ㅁ읾ㄴㅇㄻ" vbProcedure="false">#REF!</definedName>
    <definedName function="false" hidden="false" localSheetId="6" name="ㅂㅂ" vbProcedure="false">#REF!</definedName>
    <definedName function="false" hidden="true" localSheetId="6" name="ㅂㅂㅂㅂ" vbProcedure="false">{#N/A,#N/A,FALSE,"명세표"}</definedName>
    <definedName function="false" hidden="false" localSheetId="6" name="ㅂㅂㅂㅂㅂ" vbProcedure="false">blankmacro1</definedName>
    <definedName function="false" hidden="true" localSheetId="6" name="ㅂㅂㅂㅂㅂㅂㅂ" vbProcedure="false">{#N/A,#N/A,FALSE,"명세표"}</definedName>
    <definedName function="false" hidden="true" localSheetId="6" name="ㅂㅈㄱ" vbProcedure="false">{#N/A,#N/A,FALSE,"부대1"}</definedName>
    <definedName function="false" hidden="true" localSheetId="6" name="ㅅ" vbProcedure="false">{#N/A,#N/A,FALSE,"이태원철근"}</definedName>
    <definedName function="false" hidden="true" localSheetId="6" name="ㅅㅅ" vbProcedure="false">#REF!</definedName>
    <definedName function="false" hidden="true" localSheetId="6" name="ㅅㅅ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ㅇ" vbProcedure="false">{#N/A,#N/A,TRUE,"총괄"}</definedName>
    <definedName function="false" hidden="false" localSheetId="6" name="ㅇ01" vbProcedure="false">#REF!</definedName>
    <definedName function="false" hidden="false" localSheetId="6" name="ㅇㄱ1" vbProcedure="false">#REF!</definedName>
    <definedName function="false" hidden="true" localSheetId="6" name="ㅇㄴㄻㅎㅈㄷㅈㄷㄴ" vbProcedure="false">{"'Sheet1'!$D$19","'Sheet1'!$B$22:$E$22"}</definedName>
    <definedName function="false" hidden="true" localSheetId="6" name="ㅇㄴㅁㄹㅇㄻㅇㄹㄴㅇ" vbProcedure="false">{#N/A,"수불부",FALSE,"사급자재수불서";#N/A,"수불부",FALSE,"사급자재수불서"}</definedName>
    <definedName function="false" hidden="false" localSheetId="6" name="ㅇㄴㅁㅇㄴ" vbProcedure="false">blankmacro1</definedName>
    <definedName function="false" hidden="false" localSheetId="6" name="ㅇㄴㅇㄴㅇ" vbProcedure="false">blankmacro1</definedName>
    <definedName function="false" hidden="true" localSheetId="6" name="ㅇㄶㄹㄷㄱㄹㅈ" vbProcedure="false">{#N/A,"수불부",FALSE,"사급자재수불서";#N/A,"수불부",FALSE,"사급자재수불서"}</definedName>
    <definedName function="false" hidden="true" localSheetId="6" name="ㅇㄶㅁㄴㄱㄷ" vbProcedure="false">{#N/A,"수불부",FALSE,"사급자재수불서";#N/A,"수불부",FALSE,"사급자재수불서"}</definedName>
    <definedName function="false" hidden="true" localSheetId="6" name="ㅇㄶㅁㄷㄱㄹㅈ" vbProcedure="false">{#N/A,"수불부",FALSE,"사급자재수불서";#N/A,"수불부",FALSE,"사급자재수불서"}</definedName>
    <definedName function="false" hidden="true" localSheetId="6" name="ㅇㄹ" vbProcedure="false">#REF!</definedName>
    <definedName function="false" hidden="true" localSheetId="6" name="ㅇㄹㄴ" vbProcedure="false">{#N/A,"수불부",FALSE,"사급자재수불서";#N/A,"수불부",FALSE,"사급자재수불서"}</definedName>
    <definedName function="false" hidden="true" localSheetId="6" name="ㅇㄹㄴㅁㅎㅁㄴ" vbProcedure="false">{#N/A,"수불부",FALSE,"사급자재수불서";#N/A,"수불부",FALSE,"사급자재수불서"}</definedName>
    <definedName function="false" hidden="true" localSheetId="6" name="ㅇㄹㄹ" vbProcedure="false">#REF!</definedName>
    <definedName function="false" hidden="true" localSheetId="6" name="ㅇㄹㅇㄹ" vbProcedure="false">#REF!</definedName>
    <definedName function="false" hidden="true" localSheetId="6" name="ㅇㄻㄴㅀ" vbProcedure="false">{#N/A,"수불부",FALSE,"사급자재수불서";#N/A,"수불부",FALSE,"사급자재수불서"}</definedName>
    <definedName function="false" hidden="true" localSheetId="6" name="ㅇㄻㄴㅇㄻㄴㅇㄹ" vbProcedure="false">#REF!</definedName>
    <definedName function="false" hidden="true" localSheetId="6" name="ㅇㅁㄶㄴㅇㅁㅀㅇㄴ" vbProcedure="false">{#N/A,"수불부",FALSE,"사급자재수불서";#N/A,"수불부",FALSE,"사급자재수불서"}</definedName>
    <definedName function="false" hidden="true" localSheetId="6" name="ㅇ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ㅇㅇㄹ" vbProcedure="false">#REF!</definedName>
    <definedName function="false" hidden="true" localSheetId="6" name="ㅇㅇㅇ" vbProcedure="false">#REF!</definedName>
    <definedName function="false" hidden="true" localSheetId="6" name="ㅇㅈㄷㅄㅂㅈㄷㄱ" vbProcedure="false">#REF!</definedName>
    <definedName function="false" hidden="true" localSheetId="6" name="ㅇㅎㅁㅇㅎㄴㅇㅁ" vbProcedure="false">{#N/A,"수불부",FALSE,"사급자재수불서";#N/A,"수불부",FALSE,"사급자재수불서"}</definedName>
    <definedName function="false" hidden="true" localSheetId="6" name="ㅇㅎ허" vbProcedure="false">{"'공사부문'!$A$6:$A$32"}</definedName>
    <definedName function="false" hidden="true" localSheetId="6" name="ㅇ라ㅓㅏㅗ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ㅈ" vbProcedure="false">{#N/A,#N/A,FALSE,"명세표"}</definedName>
    <definedName function="false" hidden="true" localSheetId="6" name="ㅈㄱ" vbProcedure="false">{#N/A,#N/A,FALSE,"조골재"}</definedName>
    <definedName function="false" hidden="true" localSheetId="6" name="ㅈㄷㄱㄷㄱㄷ" vbProcedure="false">{"'용역비'!$A$4:$C$8"}</definedName>
    <definedName function="false" hidden="true" localSheetId="6" name="ㅈㄷㄻㅇㄹ" vbProcedure="false">#REF!</definedName>
    <definedName function="false" hidden="true" localSheetId="6" name="ㅈㅈㅈㅈ" vbProcedure="false">{#N/A,#N/A,FALSE,"전력간선"}</definedName>
    <definedName function="false" hidden="true" localSheetId="6" name="ㅊ" vbProcedure="false">{#N/A,#N/A,TRUE,"총괄"}</definedName>
    <definedName function="false" hidden="false" localSheetId="6" name="ㅊ3030" vbProcedure="false">#REF!</definedName>
    <definedName function="false" hidden="true" localSheetId="6" name="ㅊㅍ" vbProcedure="false">#REF!</definedName>
    <definedName function="false" hidden="false" localSheetId="6" name="ㅋ" vbProcedure="false">#REF!</definedName>
    <definedName function="false" hidden="true" localSheetId="6" name="ㅋㅁ" vbProcedure="false">{#N/A,#N/A,FALSE,"명세표"}</definedName>
    <definedName function="false" hidden="true" localSheetId="6" name="ㅋㅋ" vbProcedure="false">{#N/A,#N/A,FALSE,"명세표"}</definedName>
    <definedName function="false" hidden="true" localSheetId="6" name="ㅋㅋㅋ" vbProcedure="false">{#N/A,#N/A,FALSE,"단가표지"}</definedName>
    <definedName function="false" hidden="true" localSheetId="6" name="ㅌ" vbProcedure="false">{#N/A,#N/A,FALSE,"2~8번"}</definedName>
    <definedName function="false" hidden="false" localSheetId="6" name="ㅌㅌㅌㅌㅌㅌㅌ" vbProcedure="false">#REF!</definedName>
    <definedName function="false" hidden="true" localSheetId="6" name="ㅍ" vbProcedure="false">{#N/A,#N/A,FALSE,"2~8번"}</definedName>
    <definedName function="false" hidden="true" localSheetId="6" name="ㅍㄴㅇㄹ" vbProcedure="false">#REF!</definedName>
    <definedName function="false" hidden="true" localSheetId="6" name="ㅍㅍ" vbProcedure="false">{#N/A,#N/A,TRUE,"토적및재료집계";#N/A,#N/A,TRUE,"토적및재료집계";#N/A,#N/A,TRUE,"단위량"}</definedName>
    <definedName function="false" hidden="false" localSheetId="6" name="ㅎ" vbProcedure="false">#REF!</definedName>
    <definedName function="false" hidden="false" localSheetId="6" name="ㅎ1" vbProcedure="false">#REF!</definedName>
    <definedName function="false" hidden="false" localSheetId="6" name="ㅎ314" vbProcedure="false">#REF!</definedName>
    <definedName function="false" hidden="true" localSheetId="6" name="ㅎ5" vbProcedure="false">{#N/A,#N/A,FALSE,"골재소요량";#N/A,#N/A,FALSE,"골재소요량"}</definedName>
    <definedName function="false" hidden="true" localSheetId="6" name="ㅎㄴㅁㄹㅇㄹㄴ" vbProcedure="false">{#N/A,"수불부",FALSE,"사급자재수불서";#N/A,"수불부",FALSE,"사급자재수불서"}</definedName>
    <definedName function="false" hidden="false" localSheetId="6" name="ㅎㄹㄹ" vbProcedure="false">#REF!</definedName>
    <definedName function="false" hidden="true" localSheetId="6" name="ㅎㅎ" vbProcedure="false">#REF!</definedName>
    <definedName function="false" hidden="true" localSheetId="6" name="ㅎㅎㅎ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ㅎㅎㅎㅎ" vbProcedure="false">#REF!</definedName>
    <definedName function="false" hidden="true" localSheetId="6" name="ㅎㅎㅎㅎㅎㅎ" vbProcedure="false">{"'공사부문'!$A$6:$A$32"}</definedName>
    <definedName function="false" hidden="false" localSheetId="6" name="ㅎㅎㅎㅎㅎㅎㅎㅎㅎㅎㅎㅎㅎ" vbProcedure="false">#REF!</definedName>
    <definedName function="false" hidden="true" localSheetId="6" name="ㅏ" vbProcedure="false">{#N/A,#N/A,FALSE,"이태원철근"}</definedName>
    <definedName function="false" hidden="true" localSheetId="6" name="ㅏㅏㅏ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ㅏㅏㅏ갸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ㅏㅏㅏ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ㅏㅏㅣ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ㅐ" vbProcedure="false">{#N/A,#N/A,FALSE,"이태원철근"}</definedName>
    <definedName function="false" hidden="true" localSheetId="6" name="ㅐㅐㅐ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ㅐㅑㅛ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ㅑ" vbProcedure="false">{#N/A,#N/A,FALSE,"조골재"}</definedName>
    <definedName function="false" hidden="true" localSheetId="6" name="ㅑㅑ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ㅓ" vbProcedure="false">{#N/A,#N/A,FALSE,"이태원철근"}</definedName>
    <definedName function="false" hidden="true" localSheetId="6" name="ㅓ7" vbProcedure="false">{#N/A,#N/A,FALSE,"단가표지"}</definedName>
    <definedName function="false" hidden="true" localSheetId="6" name="ㅓㅓ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ㅓㅓㅏ니ㅣ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ㅓㅓㅓ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ㅓㅗ" vbProcedure="false">{#N/A,"수불부",FALSE,"사급자재수불서";#N/A,"수불부",FALSE,"사급자재수불서"}</definedName>
    <definedName function="false" hidden="true" localSheetId="6" name="ㅓ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ㅔ" vbProcedure="false">{#N/A,#N/A,FALSE,"이태원철근"}</definedName>
    <definedName function="false" hidden="true" localSheetId="6" name="ㅔㅐ" vbProcedure="false">#REF!</definedName>
    <definedName function="false" hidden="true" localSheetId="6" name="ㅔㅐㅔ" vbProcedure="false">{#N/A,"수불부",FALSE,"사급자재수불서";#N/A,"수불부",FALSE,"사급자재수불서"}</definedName>
    <definedName function="false" hidden="true" localSheetId="6" name="ㅔㅔ" vbProcedure="false">{#N/A,#N/A,FALSE,"명세표"}</definedName>
    <definedName function="false" hidden="false" localSheetId="6" name="ㅔ갸ㅜㅅ_샤싣ㄴ" vbProcedure="false">#REF!</definedName>
    <definedName function="false" hidden="false" localSheetId="6" name="ㅕ" vbProcedure="false">#REF!</definedName>
    <definedName function="false" hidden="true" localSheetId="6" name="ㅕㅑ" vbProcedure="false">#REF!</definedName>
    <definedName function="false" hidden="true" localSheetId="6" name="ㅕ겨겨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ㅗ" vbProcedure="false">{#N/A,#N/A,FALSE,"이태원철근"}</definedName>
    <definedName function="false" hidden="true" localSheetId="6" name="ㅗㅎㅇㅁㄹㅇㅎ" vbProcedure="false">{#N/A,"수불부",FALSE,"사급자재수불서";#N/A,"수불부",FALSE,"사급자재수불서"}</definedName>
    <definedName function="false" hidden="true" localSheetId="6" name="ㅗㅗ" vbProcedure="false">{#N/A,#N/A,FALSE,"명세표"}</definedName>
    <definedName function="false" hidden="true" localSheetId="6" name="ㅗㅗㅗ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ㅗㅗㅗㅗ" vbProcedure="false">{#N/A,#N/A,FALSE,"지침";#N/A,#N/A,FALSE,"환경분석";#N/A,#N/A,FALSE,"Sheet16"}</definedName>
    <definedName function="false" hidden="true" localSheetId="6" name="ㅗ마ㅓ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ㅘㅗ허ㅎ" vbProcedure="false">#REF!</definedName>
    <definedName function="false" hidden="true" localSheetId="6" name="ㅛ" vbProcedure="false">{#N/A,#N/A,FALSE,"이태원철근"}</definedName>
    <definedName function="false" hidden="true" localSheetId="6" name="ㅛㅛㅛ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ㅜ" vbProcedure="false">{#N/A,#N/A,FALSE,"명세표"}</definedName>
    <definedName function="false" hidden="true" localSheetId="6" name="ㅠ" vbProcedure="false">{#N/A,#N/A,FALSE,"이태원철근"}</definedName>
    <definedName function="false" hidden="true" localSheetId="6" name="ㅠ뮤ㅐ" vbProcedure="false">#REF!</definedName>
    <definedName function="false" hidden="true" localSheetId="6" name="ㅡ" vbProcedure="false">{#N/A,#N/A,FALSE,"이태원철근"}</definedName>
    <definedName function="false" hidden="true" localSheetId="6" name="ㅡㅡ" vbProcedure="false">{#N/A,#N/A,FALSE,"명세표"}</definedName>
    <definedName function="false" hidden="false" localSheetId="6" name="ㅣ894" vbProcedure="false">#REF!</definedName>
    <definedName function="false" hidden="true" localSheetId="6" name="ㅣㅏㅣㅏㅓㅣ" vbProcedure="false">{#N/A,#N/A,FALSE,"월공사비집계표양식 (7)";#N/A,#N/A,FALSE,"월공사비집계표양식 (7)"}</definedName>
    <definedName function="false" hidden="true" localSheetId="6" name="ㅣㅏ아ㅓ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ㅣㅑㅑ" vbProcedure="false">{#N/A,#N/A,FALSE,"단가표지"}</definedName>
    <definedName function="false" hidden="true" localSheetId="6" name="ㅣㅣㅣ노원문화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純工事原價" vbProcedure="false">#REF!</definedName>
    <definedName function="false" hidden="false" localSheetId="6" name="經費" vbProcedure="false">#REF!</definedName>
    <definedName function="false" hidden="true" localSheetId="6" name="가" vbProcedure="false">{#N/A,#N/A,FALSE,"월공사비집계표양식 (7)";#N/A,#N/A,FALSE,"월공사비집계표양식 (7)"}</definedName>
    <definedName function="false" hidden="false" localSheetId="6" name="가격" vbProcedure="false">#REF!</definedName>
    <definedName function="false" hidden="false" localSheetId="6" name="가격범위" vbProcedure="false">#REF!</definedName>
    <definedName function="false" hidden="false" localSheetId="6" name="가노" vbProcedure="false">#REF!</definedName>
    <definedName function="false" hidden="true" localSheetId="6" name="가로내역서" vbProcedure="false">{#N/A,#N/A,FALSE,"이태원철근"}</definedName>
    <definedName function="false" hidden="false" localSheetId="6" name="가설" vbProcedure="false">#REF!</definedName>
    <definedName function="false" hidden="false" localSheetId="6" name="가시나무5노무" vbProcedure="false">#REF!</definedName>
    <definedName function="false" hidden="false" localSheetId="6" name="가시나무5재료" vbProcedure="false">#REF!</definedName>
    <definedName function="false" hidden="true" localSheetId="6" name="가옥" vbProcedure="false">{#N/A,#N/A,FALSE,"속도"}</definedName>
    <definedName function="false" hidden="true" localSheetId="6" name="간" vbProcedure="false">{#N/A,#N/A,FALSE,"명세표"}</definedName>
    <definedName function="false" hidden="true" localSheetId="6" name="간지" vbProcedure="false">{#N/A,#N/A,FALSE,"토공2"}</definedName>
    <definedName function="false" hidden="true" localSheetId="6" name="감리상주" vbProcedure="false">{#N/A,#N/A,FALSE,"지침";#N/A,#N/A,FALSE,"환경분석";#N/A,#N/A,FALSE,"Sheet16"}</definedName>
    <definedName function="false" hidden="true" localSheetId="6" name="갑지" vbProcedure="false">#REF!</definedName>
    <definedName function="false" hidden="true" localSheetId="6" name="강" vbProcedure="false">{#N/A,#N/A,FALSE,"월공사비집계표양식 (7)";#N/A,#N/A,FALSE,"월공사비집계표양식 (7)"}</definedName>
    <definedName function="false" hidden="true" localSheetId="6" name="강동엽" vbProcedure="false">{#N/A,#N/A,FALSE,"월공사비집계표양식 (7)";#N/A,#N/A,FALSE,"월공사비집계표양식 (7)"}</definedName>
    <definedName function="false" hidden="true" localSheetId="6" name="강성일" vbProcedure="false">{#N/A,#N/A,FALSE,"월공사비집계표양식 (7)";#N/A,#N/A,FALSE,"월공사비집계표양식 (7)"}</definedName>
    <definedName function="false" hidden="false" localSheetId="6" name="강수지" vbProcedure="false">blankmacro1</definedName>
    <definedName function="false" hidden="true" localSheetId="6" name="강환" vbProcedure="false">{#N/A,#N/A,FALSE,"월공사비집계표양식 (7)";#N/A,#N/A,FALSE,"월공사비집계표양식 (7)"}</definedName>
    <definedName function="false" hidden="true" localSheetId="6" name="갖지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개거" vbProcedure="false">#REF!</definedName>
    <definedName function="false" hidden="true" localSheetId="6" name="개소별명세표" vbProcedure="false">{#N/A,#N/A,FALSE,"명세표"}</definedName>
    <definedName function="false" hidden="true" localSheetId="6" name="갸ㅕㅛ샤ㅛ" vbProcedure="false">{"'공사부문'!$A$6:$A$32"}</definedName>
    <definedName function="false" hidden="false" localSheetId="6" name="거래" vbProcedure="false">blankmacro1</definedName>
    <definedName function="false" hidden="true" localSheetId="6" name="건축가실" vbProcedure="false">#REF!</definedName>
    <definedName function="false" hidden="false" localSheetId="6" name="건축내역" vbProcedure="false">blankmacro1</definedName>
    <definedName function="false" hidden="true" localSheetId="6" name="건축수량집계" vbProcedure="false">{#N/A,#N/A,FALSE,"월공사비집계표양식 (7)";#N/A,#N/A,FALSE,"월공사비집계표양식 (7)"}</definedName>
    <definedName function="false" hidden="false" localSheetId="6" name="견" vbProcedure="false">#REF!,#REF!</definedName>
    <definedName function="false" hidden="false" localSheetId="6" name="견적1" vbProcedure="false">dlog_show</definedName>
    <definedName function="false" hidden="true" localSheetId="6" name="견적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견적3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견적4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견적갑지1" vbProcedure="false">{#N/A,#N/A,FALSE,"부대1"}</definedName>
    <definedName function="false" hidden="false" localSheetId="6" name="견적서" vbProcedure="false">#REF!</definedName>
    <definedName function="false" hidden="false" localSheetId="6" name="견적서1" vbProcedure="false">#REF!</definedName>
    <definedName function="false" hidden="false" localSheetId="6" name="견적서2" vbProcedure="false">#REF!</definedName>
    <definedName function="false" hidden="true" localSheetId="6" name="견적조건" vbProcedure="false">{#N/A,#N/A,FALSE,"CCTV"}</definedName>
    <definedName function="false" hidden="true" localSheetId="6" name="견적조건8" vbProcedure="false">{#N/A,#N/A,FALSE,"CCTV"}</definedName>
    <definedName function="false" hidden="false" localSheetId="6" name="견적토목" vbProcedure="false">#REF!</definedName>
    <definedName function="false" hidden="false" localSheetId="6" name="경_간단" vbProcedure="false">#REF!</definedName>
    <definedName function="false" hidden="false" localSheetId="6" name="경_강관비계12개월" vbProcedure="false">#REF!</definedName>
    <definedName function="false" hidden="false" localSheetId="6" name="경_강관비계3개월" vbProcedure="false">#REF!</definedName>
    <definedName function="false" hidden="false" localSheetId="6" name="경비" vbProcedure="false">#REF!</definedName>
    <definedName function="false" hidden="false" localSheetId="6" name="경비합" vbProcedure="false">#REF!</definedName>
    <definedName function="false" hidden="false" localSheetId="6" name="경순" vbProcedure="false">blankmacro1</definedName>
    <definedName function="false" hidden="false" localSheetId="6" name="계" vbProcedure="false">#REF!</definedName>
    <definedName function="false" hidden="false" localSheetId="6" name="계산" vbProcedure="false">#REF!</definedName>
    <definedName function="false" hidden="false" localSheetId="6" name="계수나무6노무" vbProcedure="false">#REF!</definedName>
    <definedName function="false" hidden="false" localSheetId="6" name="계수나무6재료" vbProcedure="false">#REF!</definedName>
    <definedName function="false" hidden="true" localSheetId="6" name="계전2" vbProcedure="false">#REF!</definedName>
    <definedName function="false" hidden="true" localSheetId="6" name="계측기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고기" vbProcedure="false">#REF!</definedName>
    <definedName function="false" hidden="false" localSheetId="6" name="공" vbProcedure="false">blankmacro1</definedName>
    <definedName function="false" hidden="true" localSheetId="6" name="공5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공___종" vbProcedure="false">#REF!</definedName>
    <definedName function="false" hidden="true" localSheetId="6" name="공공도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공공도서1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공급가액" vbProcedure="false">#REF!</definedName>
    <definedName function="false" hidden="false" localSheetId="6" name="공기" vbProcedure="false">#REF!</definedName>
    <definedName function="false" hidden="true" localSheetId="6" name="공내역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공내역서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공사명" vbProcedure="false">#REF!</definedName>
    <definedName function="false" hidden="true" localSheetId="6" name="공사시방서" vbProcedure="false">{#N/A,#N/A,FALSE,"명세표"}</definedName>
    <definedName function="false" hidden="true" localSheetId="6" name="공사시방서1" vbProcedure="false">{#N/A,#N/A,FALSE,"명세표"}</definedName>
    <definedName function="false" hidden="false" localSheetId="6" name="공사원가" vbProcedure="false">#REF!</definedName>
    <definedName function="false" hidden="true" localSheetId="6" name="공사원가계산서" vbProcedure="false">{#N/A,#N/A,TRUE,"토적및재료집계";#N/A,#N/A,TRUE,"토적및재료집계";#N/A,#N/A,TRUE,"단위량"}</definedName>
    <definedName function="false" hidden="false" localSheetId="6" name="공산" vbProcedure="false">#REF!</definedName>
    <definedName function="false" hidden="false" localSheetId="6" name="공산품" vbProcedure="false">#REF!</definedName>
    <definedName function="false" hidden="true" localSheetId="6" name="공원등기초" vbProcedure="false">{#N/A,#N/A,FALSE,"골재소요량";#N/A,#N/A,FALSE,"골재소요량"}</definedName>
    <definedName function="false" hidden="false" localSheetId="6" name="공정" vbProcedure="false">#REF!</definedName>
    <definedName function="false" hidden="true" localSheetId="6" name="공정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공정2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공정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공정표" vbProcedure="false">{#N/A,#N/A,FALSE,"현장 NCR 분석";#N/A,#N/A,FALSE,"현장품질감사";#N/A,#N/A,FALSE,"현장품질감사"}</definedName>
    <definedName function="false" hidden="false" localSheetId="6" name="공종" vbProcedure="false">#REF!</definedName>
    <definedName function="false" hidden="false" localSheetId="6" name="공종갯수" vbProcedure="false">#REF!</definedName>
    <definedName function="false" hidden="false" localSheetId="6" name="관급" vbProcedure="false">#REF!,#REF!,#REF!</definedName>
    <definedName function="false" hidden="false" localSheetId="6" name="관목계" vbProcedure="false">#REF!</definedName>
    <definedName function="false" hidden="false" localSheetId="6" name="관용접노무" vbProcedure="false">#REF!</definedName>
    <definedName function="false" hidden="false" localSheetId="6" name="관용접노무비" vbProcedure="false">#REF!</definedName>
    <definedName function="false" hidden="true" localSheetId="6" name="교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교동토목공사" vbProcedure="false">{#N/A,#N/A,FALSE,"이태원철근"}</definedName>
    <definedName function="false" hidden="true" localSheetId="6" name="교실동" vbProcedure="false">{#N/A,#N/A,FALSE,"월공사비집계표양식 (7)";#N/A,#N/A,FALSE,"월공사비집계표양식 (7)"}</definedName>
    <definedName function="false" hidden="true" localSheetId="6" name="교통" vbProcedure="false">#REF!</definedName>
    <definedName function="false" hidden="true" localSheetId="6" name="구2호" vbProcedure="false">{"'중기작업1'!$A$1:$V$18"}</definedName>
    <definedName function="false" hidden="false" localSheetId="6" name="구분" vbProcedure="false">blankmacro1</definedName>
    <definedName function="false" hidden="false" localSheetId="6" name="구분1" vbProcedure="false">blankmacro1</definedName>
    <definedName function="false" hidden="true" localSheetId="6" name="구산갑지" vbProcedure="false">#REF!</definedName>
    <definedName function="false" hidden="false" localSheetId="6" name="국내장비" vbProcedure="false">#REF!</definedName>
    <definedName function="false" hidden="false" localSheetId="6" name="국내장비계" vbProcedure="false">#REF!</definedName>
    <definedName function="false" hidden="false" localSheetId="6" name="군유1" vbProcedure="false">#REF!</definedName>
    <definedName function="false" hidden="true" localSheetId="6" name="권대협" vbProcedure="false">{#N/A,#N/A,FALSE,"CCTV"}</definedName>
    <definedName function="false" hidden="false" localSheetId="6" name="규격11" vbProcedure="false">#REF!</definedName>
    <definedName function="false" hidden="false" localSheetId="6" name="규격수" vbProcedure="false">#REF!</definedName>
    <definedName function="false" hidden="true" localSheetId="6" name="그만" vbProcedure="false">{#N/A,#N/A,FALSE,"Sheet1"}</definedName>
    <definedName function="false" hidden="true" localSheetId="6" name="근린" vbProcedure="false">{#N/A,#N/A,FALSE,"Sheet1"}</definedName>
    <definedName function="false" hidden="true" localSheetId="6" name="금액대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기" vbProcedure="false">#REF!</definedName>
    <definedName function="false" hidden="true" localSheetId="6" name="기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localSheetId="6" name="기계3" vbProcedure="false">blankmacro1</definedName>
    <definedName function="false" hidden="false" localSheetId="6" name="기계4" vbProcedure="false">blankmacro1</definedName>
    <definedName function="false" hidden="false" localSheetId="6" name="기계경비" vbProcedure="false">#REF!</definedName>
    <definedName function="false" hidden="false" localSheetId="6" name="기계되경" vbProcedure="false">#REF!</definedName>
    <definedName function="false" hidden="false" localSheetId="6" name="기계되노" vbProcedure="false">#REF!</definedName>
    <definedName function="false" hidden="true" localSheetId="6" name="기계집계" vbProcedure="false">{#N/A,#N/A,FALSE,"2~8번"}</definedName>
    <definedName function="false" hidden="true" localSheetId="6" name="기본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기성3" vbProcedure="false">{#N/A,#N/A,FALSE,"CCTV"}</definedName>
    <definedName function="false" hidden="true" localSheetId="6" name="기성갑" vbProcedure="false">#REF!</definedName>
    <definedName function="false" hidden="true" localSheetId="6" name="기성원가" vbProcedure="false">{#N/A,#N/A,FALSE,"월공사비집계표양식 (7)";#N/A,#N/A,FALSE,"월공사비집계표양식 (7)"}</definedName>
    <definedName function="false" hidden="true" localSheetId="6" name="기술3" vbProcedure="false">{#N/A,#N/A,TRUE,"손익보고"}</definedName>
    <definedName function="false" hidden="true" localSheetId="6" name="기자재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localSheetId="6" name="기초" vbProcedure="false">#REF!</definedName>
    <definedName function="false" hidden="false" localSheetId="6" name="기초데이타" vbProcedure="false">#REF!</definedName>
    <definedName function="false" hidden="false" localSheetId="6" name="기초액" vbProcedure="false">#REF!</definedName>
    <definedName function="false" hidden="true" localSheetId="6" name="김" vbProcedure="false">{#N/A,#N/A,FALSE,"명세표"}</definedName>
    <definedName function="false" hidden="true" localSheetId="6" name="김1" vbProcedure="false">{"'Firr(선)'!$AS$1:$AY$62","'Firr(사)'!$AS$1:$AY$62","'Firr(회)'!$AS$1:$AY$62","'Firr(선)'!$L$1:$V$62","'Firr(사)'!$L$1:$V$62","'Firr(회)'!$L$1:$V$62"}</definedName>
    <definedName function="false" hidden="false" localSheetId="6" name="김진성1" vbProcedure="false">blankmacro1</definedName>
    <definedName function="false" hidden="false" localSheetId="6" name="깊이" vbProcedure="false">#REF!</definedName>
    <definedName function="false" hidden="false" localSheetId="6" name="꽃사과10노무" vbProcedure="false">#REF!</definedName>
    <definedName function="false" hidden="false" localSheetId="6" name="꽃사과10재료" vbProcedure="false">#REF!</definedName>
    <definedName function="false" hidden="false" localSheetId="6" name="나" vbProcedure="false">#REF!</definedName>
    <definedName function="false" hidden="false" localSheetId="6" name="나." vbProcedure="false">#REF!</definedName>
    <definedName function="false" hidden="true" localSheetId="6" name="나ㅏㅓ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나ㅓㅗㄹ어ㅕㅇㄴ린ㄹㅇ" vbProcedure="false">{#N/A,#N/A,FALSE,"단가표지"}</definedName>
    <definedName function="false" hidden="false" localSheetId="6" name="나무" vbProcedure="false">#REF!</definedName>
    <definedName function="false" hidden="true" localSheetId="6" name="남남" vbProcedure="false">#REF!</definedName>
    <definedName function="false" hidden="false" localSheetId="6" name="남덕" vbProcedure="false">blankmacro1</definedName>
    <definedName function="false" hidden="false" localSheetId="6" name="남덕1" vbProcedure="false">blankmacro1</definedName>
    <definedName function="false" hidden="false" localSheetId="6" name="남산1호" vbProcedure="false">#REF!</definedName>
    <definedName function="false" hidden="false" localSheetId="6" name="남산2호" vbProcedure="false">#REF!</definedName>
    <definedName function="false" hidden="true" localSheetId="6" name="남서울문화체육관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false" localSheetId="6" name="내역" vbProcedure="false">#REF!</definedName>
    <definedName function="false" hidden="false" localSheetId="6" name="내역1" vbProcedure="false">#REF!</definedName>
    <definedName function="false" hidden="false" localSheetId="6" name="내역서" vbProcedure="false">#REF!</definedName>
    <definedName function="false" hidden="false" localSheetId="6" name="내용" vbProcedure="false">blankmacro1</definedName>
    <definedName function="false" hidden="true" localSheetId="6" name="내장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낵역4" vbProcedure="false">#REF!</definedName>
    <definedName function="false" hidden="true" localSheetId="6" name="냉난방" vbProcedure="false">{#N/A,#N/A,FALSE,"지침";#N/A,#N/A,FALSE,"환경분석";#N/A,#N/A,FALSE,"Sheet16"}</definedName>
    <definedName function="false" hidden="true" localSheetId="6" name="녭" vbProcedure="false">#REF!</definedName>
    <definedName function="false" hidden="true" localSheetId="6" name="노원문화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노원문화1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노인1" vbProcedure="false">{"'중기작업1'!$A$1:$V$18"}</definedName>
    <definedName function="false" hidden="false" localSheetId="6" name="노임1" vbProcedure="false">blankmacro1</definedName>
    <definedName function="false" hidden="true" localSheetId="6" name="노임13" vbProcedure="false">{#N/A,#N/A,FALSE,"Sheet1"}</definedName>
    <definedName function="false" hidden="true" localSheetId="6" name="노임14" vbProcedure="false">{#N/A,#N/A,FALSE,"Sheet1"}</definedName>
    <definedName function="false" hidden="false" localSheetId="6" name="노임2" vbProcedure="false">blankmacro1</definedName>
    <definedName function="false" hidden="false" localSheetId="6" name="녹지노" vbProcedure="false">#REF!</definedName>
    <definedName function="false" hidden="false" localSheetId="6" name="녹지재" vbProcedure="false">#REF!</definedName>
    <definedName function="false" hidden="true" localSheetId="6" name="논현동외" vbProcedure="false">{#N/A,#N/A,FALSE,"Sheet6"}</definedName>
    <definedName function="false" hidden="false" localSheetId="6" name="농림" vbProcedure="false">#REF!</definedName>
    <definedName function="false" hidden="false" localSheetId="6" name="농원1호" vbProcedure="false">#REF!</definedName>
    <definedName function="false" hidden="false" localSheetId="6" name="농원2호" vbProcedure="false">#REF!</definedName>
    <definedName function="false" hidden="true" localSheetId="6" name="다배관방식" vbProcedure="false">{#N/A,#N/A,FALSE,"Sheet1"}</definedName>
    <definedName function="false" hidden="false" localSheetId="6" name="단가" vbProcedure="false">#REF!</definedName>
    <definedName function="false" hidden="false" localSheetId="6" name="단가2" vbProcedure="false">#REF!,#REF!</definedName>
    <definedName function="false" hidden="false" localSheetId="6" name="단가적용표" vbProcedure="false">#REF!</definedName>
    <definedName function="false" hidden="true" localSheetId="6" name="단가조사자료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단가조사표" vbProcedure="false">#REF!</definedName>
    <definedName function="false" hidden="false" localSheetId="6" name="단가표" vbProcedure="false">#REF!</definedName>
    <definedName function="false" hidden="true" localSheetId="6" name="당진군예술회관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localSheetId="6" name="대교건설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localSheetId="6" name="대교건설2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true" localSheetId="6" name="대구공항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대기" vbProcedure="false">#REF!</definedName>
    <definedName function="false" hidden="false" localSheetId="6" name="대나무" vbProcedure="false">#REF!</definedName>
    <definedName function="false" hidden="true" localSheetId="6" name="대덕" vbProcedure="false">{#N/A,#N/A,FALSE,"CCTV"}</definedName>
    <definedName function="false" hidden="true" localSheetId="6" name="대리석포장" vbProcedure="false">{#N/A,#N/A,TRUE,"총괄"}</definedName>
    <definedName function="false" hidden="true" localSheetId="6" name="대비" vbProcedure="false">{#N/A,#N/A,FALSE,"CCTV"}</definedName>
    <definedName function="false" hidden="false" localSheetId="6" name="대전내역서_대전추가비교표_List" vbProcedure="false">#REF!</definedName>
    <definedName function="false" hidden="true" localSheetId="6" name="대표회의" vbProcedure="false">{#N/A,#N/A,FALSE,"현장 NCR 분석";#N/A,#N/A,FALSE,"현장품질감사";#N/A,#N/A,FALSE,"현장품질감사"}</definedName>
    <definedName function="false" hidden="true" localSheetId="6" name="대한" vbProcedure="false">#REF!</definedName>
    <definedName function="false" hidden="false" localSheetId="6" name="덕산1호" vbProcedure="false">#REF!</definedName>
    <definedName function="false" hidden="false" localSheetId="6" name="덕산2호" vbProcedure="false">#REF!</definedName>
    <definedName function="false" hidden="false" localSheetId="6" name="덕산3호" vbProcedure="false">#REF!</definedName>
    <definedName function="false" hidden="true" localSheetId="6" name="덕흥흥건축" vbProcedure="false">#REF!</definedName>
    <definedName function="false" hidden="true" localSheetId="6" name="도급4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도급444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도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도서인쇄" vbProcedure="false">#REF!</definedName>
    <definedName function="false" hidden="false" localSheetId="6" name="도서인쇄비" vbProcedure="false">#REF!</definedName>
    <definedName function="false" hidden="false" localSheetId="6" name="돌단풍" vbProcedure="false">#REF!</definedName>
    <definedName function="false" hidden="false" localSheetId="6" name="동백나무2노무" vbProcedure="false">#REF!</definedName>
    <definedName function="false" hidden="false" localSheetId="6" name="동백나무2재료" vbProcedure="false">#REF!</definedName>
    <definedName function="false" hidden="false" localSheetId="6" name="동백나무4노무" vbProcedure="false">#REF!</definedName>
    <definedName function="false" hidden="true" localSheetId="6" name="둑7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디" vbProcedure="false">#REF!</definedName>
    <definedName function="false" hidden="true" localSheetId="6" name="디디" vbProcedure="false">#REF!</definedName>
    <definedName function="false" hidden="true" localSheetId="6" name="라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라ㅓ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라라" vbProcedure="false">blankmacro1</definedName>
    <definedName function="false" hidden="false" localSheetId="6" name="램머경" vbProcedure="false">#REF!</definedName>
    <definedName function="false" hidden="false" localSheetId="6" name="램머노무" vbProcedure="false">#REF!</definedName>
    <definedName function="false" hidden="false" localSheetId="6" name="램머재료" vbProcedure="false">#REF!</definedName>
    <definedName function="false" hidden="false" localSheetId="6" name="레180" vbProcedure="false">#REF!</definedName>
    <definedName function="false" hidden="false" localSheetId="6" name="레210" vbProcedure="false">#REF!</definedName>
    <definedName function="false" hidden="false" localSheetId="6" name="레미콘무노" vbProcedure="false">#REF!</definedName>
    <definedName function="false" hidden="true" localSheetId="6" name="롸" vbProcedure="false">#REF!</definedName>
    <definedName function="false" hidden="true" localSheetId="6" name="뢰" vbProcedure="false">#REF!</definedName>
    <definedName function="false" hidden="true" localSheetId="6" name="루사" vbProcedure="false">#REF!</definedName>
    <definedName function="false" hidden="false" localSheetId="6" name="마" vbProcedure="false">#REF!</definedName>
    <definedName function="false" hidden="false" localSheetId="6" name="마감표" vbProcedure="false">#REF!</definedName>
    <definedName function="false" hidden="false" localSheetId="6" name="마력" vbProcedure="false">#REF!</definedName>
    <definedName function="false" hidden="false" localSheetId="6" name="마케담경" vbProcedure="false">#REF!</definedName>
    <definedName function="false" hidden="false" localSheetId="6" name="말" vbProcedure="false">blankmacro1</definedName>
    <definedName function="false" hidden="true" localSheetId="6" name="매" vbProcedure="false">#REF!</definedName>
    <definedName function="false" hidden="false" localSheetId="6" name="매크로1" vbProcedure="false">#REF!</definedName>
    <definedName function="false" hidden="false" localSheetId="6" name="매화4노무" vbProcedure="false">#REF!</definedName>
    <definedName function="false" hidden="false" localSheetId="6" name="매화4재료" vbProcedure="false">#REF!</definedName>
    <definedName function="false" hidden="true" localSheetId="6" name="머" vbProcedure="false">{#N/A,#N/A,FALSE,"명세표"}</definedName>
    <definedName function="false" hidden="false" localSheetId="6" name="머야ㅕ" vbProcedure="false">blankmacro1</definedName>
    <definedName function="false" hidden="false" localSheetId="6" name="메타10노무" vbProcedure="false">#REF!</definedName>
    <definedName function="false" hidden="false" localSheetId="6" name="메타10재료" vbProcedure="false">#REF!</definedName>
    <definedName function="false" hidden="false" localSheetId="6" name="메타5노무" vbProcedure="false">#REF!</definedName>
    <definedName function="false" hidden="true" localSheetId="6" name="명단" vbProcedure="false">{#N/A,"수불부",FALSE,"사급자재수불서";#N/A,"수불부",FALSE,"사급자재수불서"}</definedName>
    <definedName function="false" hidden="true" localSheetId="6" name="모형1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모형물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모형제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목공" vbProcedure="false">[0]!집</definedName>
    <definedName function="false" hidden="false" localSheetId="6" name="목록1" vbProcedure="false">#REF!</definedName>
    <definedName function="false" hidden="false" localSheetId="6" name="목록2" vbProcedure="false">#REF!</definedName>
    <definedName function="false" hidden="false" localSheetId="6" name="목백합" vbProcedure="false">#REF!</definedName>
    <definedName function="false" hidden="true" localSheetId="6" name="몰라" vbProcedure="false">{#N/A,#N/A,FALSE,"명세표"}</definedName>
    <definedName function="false" hidden="true" localSheetId="6" name="물" vbProcedure="false">{#N/A,#N/A,FALSE,"이태원철근"}</definedName>
    <definedName function="false" hidden="true" localSheetId="6" name="물가" vbProcedure="false">{#N/A,#N/A,FALSE,"이태원철근"}</definedName>
    <definedName function="false" hidden="true" localSheetId="6" name="물가변동내역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물경" vbProcedure="false">#REF!</definedName>
    <definedName function="false" hidden="false" localSheetId="6" name="물노무" vbProcedure="false">#REF!</definedName>
    <definedName function="false" hidden="false" localSheetId="6" name="물량집계" vbProcedure="false">#REF!</definedName>
    <definedName function="false" hidden="false" localSheetId="6" name="물량집계1" vbProcedure="false">#REF!</definedName>
    <definedName function="false" hidden="false" localSheetId="6" name="물재료" vbProcedure="false">#REF!</definedName>
    <definedName function="false" hidden="true" localSheetId="6" name="뭐가이태원이야" vbProcedure="false">{#N/A,#N/A,FALSE,"이태원철근"}</definedName>
    <definedName function="false" hidden="true" localSheetId="6" name="미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미송원목" vbProcedure="false">#REF!</definedName>
    <definedName function="false" hidden="true" localSheetId="6" name="미이" vbProcedure="false">#REF!</definedName>
    <definedName function="false" hidden="false" localSheetId="6" name="바" vbProcedure="false">#REF!</definedName>
    <definedName function="false" hidden="true" localSheetId="6" name="바부" vbProcedure="false">{"'용역비'!$A$4:$C$8"}</definedName>
    <definedName function="false" hidden="false" localSheetId="6" name="바이오" vbProcedure="false">#REF!</definedName>
    <definedName function="false" hidden="false" localSheetId="6" name="바탕원본표1" vbProcedure="false">#REF!</definedName>
    <definedName function="false" hidden="false" localSheetId="6" name="박은하" vbProcedure="false">dlog_show</definedName>
    <definedName function="false" hidden="false" localSheetId="6" name="박태기" vbProcedure="false">#REF!</definedName>
    <definedName function="false" hidden="false" localSheetId="6" name="박피" vbProcedure="false">#REF!</definedName>
    <definedName function="false" hidden="true" localSheetId="6" name="발주용공내역서" vbProcedure="false">{#N/A,#N/A,FALSE,"사업총괄";#N/A,#N/A,FALSE,"장비사업";#N/A,#N/A,FALSE,"철구사업";#N/A,#N/A,FALSE,"준설사업"}</definedName>
    <definedName function="false" hidden="false" localSheetId="6" name="방송" vbProcedure="false">blankmacro1</definedName>
    <definedName function="false" hidden="false" localSheetId="6" name="방수공" vbProcedure="false">#REF!</definedName>
    <definedName function="false" hidden="false" localSheetId="6" name="배관공계" vbProcedure="false">#REF!</definedName>
    <definedName function="false" hidden="false" localSheetId="6" name="배관규격" vbProcedure="false">#REF!</definedName>
    <definedName function="false" hidden="true" localSheetId="6" name="배수" vbProcedure="false">{#N/A,#N/A,FALSE,"월공사비집계표양식 (7)";#N/A,#N/A,FALSE,"월공사비집계표양식 (7)"}</definedName>
    <definedName function="false" hidden="true" localSheetId="6" name="배수로총집계" vbProcedure="false">{"'중기작업1'!$A$1:$V$18"}</definedName>
    <definedName function="false" hidden="true" localSheetId="6" name="백" vbProcedure="false">{#N/A,#N/A,FALSE,"월공사비집계표양식 (7)";#N/A,#N/A,FALSE,"월공사비집계표양식 (7)"}</definedName>
    <definedName function="false" hidden="false" localSheetId="6" name="백호2경" vbProcedure="false">#REF!</definedName>
    <definedName function="false" hidden="false" localSheetId="6" name="백호2노무" vbProcedure="false">#REF!</definedName>
    <definedName function="false" hidden="false" localSheetId="6" name="백호2재료" vbProcedure="false">#REF!</definedName>
    <definedName function="false" hidden="true" localSheetId="6" name="변경수량" vbProcedure="false">{#N/A,#N/A,FALSE,"혼합골재"}</definedName>
    <definedName function="false" hidden="false" localSheetId="6" name="보" vbProcedure="false">#REF!</definedName>
    <definedName function="false" hidden="true" localSheetId="6" name="보도" vbProcedure="false">{#N/A,#N/A,TRUE,"총괄"}</definedName>
    <definedName function="false" hidden="true" localSheetId="6" name="보오링그라우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보온공계" vbProcedure="false">#REF!</definedName>
    <definedName function="false" hidden="false" localSheetId="6" name="보일러" vbProcedure="false">blankmacro1</definedName>
    <definedName function="false" hidden="false" localSheetId="6" name="보조기층부설" vbProcedure="false">#REF!</definedName>
    <definedName function="false" hidden="false" localSheetId="6" name="보통인부계" vbProcedure="false">#REF!</definedName>
    <definedName function="false" hidden="true" localSheetId="6" name="보험1" vbProcedure="false">{#N/A,#N/A,FALSE,"사업총괄";#N/A,#N/A,FALSE,"장비사업";#N/A,#N/A,FALSE,"철구사업";#N/A,#N/A,FALSE,"준설사업"}</definedName>
    <definedName function="false" hidden="true" localSheetId="6" name="보험11" vbProcedure="false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function="false" hidden="true" localSheetId="6" name="복지" vbProcedure="false">#REF!</definedName>
    <definedName function="false" hidden="true" localSheetId="6" name="복지회관" vbProcedure="false">{#N/A,#N/A,FALSE,"지침";#N/A,#N/A,FALSE,"환경분석";#N/A,#N/A,FALSE,"Sheet16"}</definedName>
    <definedName function="false" hidden="true" localSheetId="6" name="봉등비교" vbProcedure="false">{#N/A,#N/A,FALSE,"CCTV"}</definedName>
    <definedName function="false" hidden="true" localSheetId="6" name="부" vbProcedure="false">{#N/A,#N/A,FALSE,"현장 NCR 분석";#N/A,#N/A,FALSE,"현장품질감사";#N/A,#N/A,FALSE,"현장품질감사"}</definedName>
    <definedName function="false" hidden="true" localSheetId="6" name="부대공사" vbProcedure="false">#REF!</definedName>
    <definedName function="false" hidden="true" localSheetId="6" name="부대원본" vbProcedure="false">{#N/A,#N/A,FALSE,"토공2"}</definedName>
    <definedName function="false" hidden="false" localSheetId="6" name="부대입찰잡비" vbProcedure="false">dlog_show</definedName>
    <definedName function="false" hidden="true" localSheetId="6" name="부대토공2" vbProcedure="false">{#N/A,#N/A,FALSE,"구조2"}</definedName>
    <definedName function="false" hidden="true" localSheetId="6" name="부산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부산주경기장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부손익" vbProcedure="false">{#N/A,#N/A,FALSE,"현장 NCR 분석";#N/A,#N/A,FALSE,"현장품질감사";#N/A,#N/A,FALSE,"현장품질감사"}</definedName>
    <definedName function="false" hidden="false" localSheetId="6" name="부토" vbProcedure="false">dlog_show</definedName>
    <definedName function="false" hidden="false" localSheetId="6" name="부하_부하명" vbProcedure="false">#REF!</definedName>
    <definedName function="false" hidden="true" localSheetId="6" name="분" vbProcedure="false">{#N/A,#N/A,FALSE,"이태원철근"}</definedName>
    <definedName function="false" hidden="true" localSheetId="6" name="분당협조" vbProcedure="false">{#N/A,#N/A,FALSE,"이태원철근"}</definedName>
    <definedName function="false" hidden="true" localSheetId="6" name="분석변경" vbProcedure="false">{#N/A,#N/A,FALSE,"변경관리예산";#N/A,#N/A,FALSE,"변경장비예산";#N/A,#N/A,FALSE,"변경준설예산";#N/A,#N/A,FALSE,"변경철구예산"}</definedName>
    <definedName function="false" hidden="true" localSheetId="6" name="분야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분야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분야별공사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분양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분전반" vbProcedure="false">blankmacro1</definedName>
    <definedName function="false" hidden="false" localSheetId="6" name="불도자15경" vbProcedure="false">#REF!</definedName>
    <definedName function="false" hidden="false" localSheetId="6" name="불도자15노무" vbProcedure="false">#REF!</definedName>
    <definedName function="false" hidden="false" localSheetId="6" name="불도자15재료" vbProcedure="false">#REF!</definedName>
    <definedName function="false" hidden="true" localSheetId="6" name="비겁" vbProcedure="false">#REF!</definedName>
    <definedName function="false" hidden="false" localSheetId="6" name="비목군분류표" vbProcedure="false">#REF!</definedName>
    <definedName function="false" hidden="false" localSheetId="6" name="비비추" vbProcedure="false">#REF!</definedName>
    <definedName function="false" hidden="false" localSheetId="6" name="비율" vbProcedure="false">#REF!</definedName>
    <definedName function="false" hidden="true" localSheetId="6" name="사" vbProcedure="false">#REF!</definedName>
    <definedName function="false" hidden="false" localSheetId="6" name="사급" vbProcedure="false">#REF!</definedName>
    <definedName function="false" hidden="false" localSheetId="6" name="사급경비" vbProcedure="false">#REF!</definedName>
    <definedName function="false" hidden="false" localSheetId="6" name="사급자재" vbProcedure="false">#REF!</definedName>
    <definedName function="false" hidden="true" localSheetId="6" name="사랑" vbProcedure="false">{#N/A,#N/A,FALSE,"토공2"}</definedName>
    <definedName function="false" hidden="true" localSheetId="6" name="사업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사업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사업관리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사업비" vbProcedure="false">{#N/A,#N/A,FALSE,"사업총괄";#N/A,#N/A,FALSE,"장비사업";#N/A,#N/A,FALSE,"철구사업";#N/A,#N/A,FALSE,"준설사업"}</definedName>
    <definedName function="false" hidden="true" localSheetId="6" name="사타" vbProcedure="false">#REF!</definedName>
    <definedName function="false" hidden="false" localSheetId="6" name="산" vbProcedure="false">blankmacro1</definedName>
    <definedName function="false" hidden="false" localSheetId="6" name="산근_경_기층" vbProcedure="false">#REF!</definedName>
    <definedName function="false" hidden="false" localSheetId="6" name="산근_경_깬자갈" vbProcedure="false">#REF!</definedName>
    <definedName function="false" hidden="false" localSheetId="6" name="산근_경_노상정리" vbProcedure="false">#REF!</definedName>
    <definedName function="false" hidden="true" localSheetId="6" name="산서" vbProcedure="false">#REF!</definedName>
    <definedName function="false" hidden="false" localSheetId="6" name="산출경비" vbProcedure="false">#REF!</definedName>
    <definedName function="false" hidden="false" localSheetId="6" name="산출근거" vbProcedure="false">blankmacro1</definedName>
    <definedName function="false" hidden="false" localSheetId="6" name="산출내역" vbProcedure="false">#REF!</definedName>
    <definedName function="false" hidden="false" localSheetId="6" name="산출내역집계표" vbProcedure="false">#REF!</definedName>
    <definedName function="false" hidden="false" localSheetId="6" name="산출냐역" vbProcedure="false">#REF!</definedName>
    <definedName function="false" hidden="true" localSheetId="6" name="삼우설비" vbProcedure="false">#REF!</definedName>
    <definedName function="false" hidden="true" localSheetId="6" name="상대" vbProcedure="false">#REF!</definedName>
    <definedName function="false" hidden="true" localSheetId="6" name="상주" vbProcedure="false">{#N/A,#N/A,FALSE,"지침";#N/A,#N/A,FALSE,"환경분석";#N/A,#N/A,FALSE,"Sheet16"}</definedName>
    <definedName function="false" hidden="true" localSheetId="6" name="상주감리" vbProcedure="false">{#N/A,#N/A,FALSE,"지침";#N/A,#N/A,FALSE,"환경분석";#N/A,#N/A,FALSE,"Sheet16"}</definedName>
    <definedName function="false" hidden="true" localSheetId="6" name="새" vbProcedure="false">{"'중기작업1'!$A$1:$V$18"}</definedName>
    <definedName function="false" hidden="true" localSheetId="6" name="새2" vbProcedure="false">{"'중기작업1'!$A$1:$V$18"}</definedName>
    <definedName function="false" hidden="true" localSheetId="6" name="새공통" vbProcedure="false">{#N/A,#N/A,FALSE,"이태원철근"}</definedName>
    <definedName function="false" hidden="true" localSheetId="6" name="새이" vbProcedure="false">#REF!</definedName>
    <definedName function="false" hidden="false" localSheetId="6" name="색재2" vbProcedure="false">#REF!</definedName>
    <definedName function="false" hidden="false" localSheetId="6" name="생사1호" vbProcedure="false">#REF!</definedName>
    <definedName function="false" hidden="true" localSheetId="6" name="서류3" vbProcedure="false">{#N/A,"수불부",FALSE,"사급자재수불서";#N/A,"수불부",FALSE,"사급자재수불서"}</definedName>
    <definedName function="false" hidden="true" localSheetId="6" name="서류4" vbProcedure="false">{#N/A,"수불부",FALSE,"사급자재수불서";#N/A,"수불부",FALSE,"사급자재수불서"}</definedName>
    <definedName function="false" hidden="true" localSheetId="6" name="서류5" vbProcedure="false">{#N/A,"수불부",FALSE,"사급자재수불서";#N/A,"수불부",FALSE,"사급자재수불서"}</definedName>
    <definedName function="false" hidden="true" localSheetId="6" name="석" vbProcedure="false">{#N/A,#N/A,FALSE,"지침";#N/A,#N/A,FALSE,"환경분석";#N/A,#N/A,FALSE,"Sheet16"}</definedName>
    <definedName function="false" hidden="false" localSheetId="6" name="석재타일경" vbProcedure="false">#REF!</definedName>
    <definedName function="false" hidden="false" localSheetId="6" name="석재타일노" vbProcedure="false">#REF!</definedName>
    <definedName function="false" hidden="true" localSheetId="6" name="석항" vbProcedure="false">{#N/A,#N/A,FALSE,"명세표"}</definedName>
    <definedName function="false" hidden="true" localSheetId="6" name="설계설명" vbProcedure="false">#REF!</definedName>
    <definedName function="false" hidden="true" localSheetId="6" name="설변" vbProcedure="false">{#N/A,#N/A,FALSE,"월공사비집계표양식 (7)";#N/A,#N/A,FALSE,"월공사비집계표양식 (7)"}</definedName>
    <definedName function="false" hidden="true" localSheetId="6" name="설비" vbProcedure="false">{#N/A,#N/A,FALSE,"이태원철근"}</definedName>
    <definedName function="false" hidden="true" localSheetId="6" name="설비공내역" vbProcedure="false">{#N/A,#N/A,FALSE,"CCTV"}</definedName>
    <definedName function="false" hidden="true" localSheetId="6" name="설비예비품" vbProcedure="false">{#N/A,#N/A,FALSE,"전력간선"}</definedName>
    <definedName function="false" hidden="true" localSheetId="6" name="성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성과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소방" vbProcedure="false">{"SJ - 기본 보기",#N/A,FALSE,"공사별 외주견적"}</definedName>
    <definedName function="false" hidden="false" localSheetId="6" name="소방내역" vbProcedure="false">blankmacro1</definedName>
    <definedName function="false" hidden="false" localSheetId="6" name="소방내역서" vbProcedure="false">blankmacro1</definedName>
    <definedName function="false" hidden="false" localSheetId="6" name="소일위대가1" vbProcedure="false">#REF!</definedName>
    <definedName function="false" hidden="true" localSheetId="6" name="소화갑지" vbProcedure="false">{#N/A,#N/A,FALSE,"CCTV"}</definedName>
    <definedName function="false" hidden="false" localSheetId="6" name="송수관로구경" vbProcedure="false">#REF!</definedName>
    <definedName function="false" hidden="false" localSheetId="6" name="송천1" vbProcedure="false">#REF!</definedName>
    <definedName function="false" hidden="false" localSheetId="6" name="송천2" vbProcedure="false">#REF!</definedName>
    <definedName function="false" hidden="false" localSheetId="6" name="수____종" vbProcedure="false">#REF!</definedName>
    <definedName function="false" hidden="true" localSheetId="6" name="수ㅠ진7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수가옥" vbProcedure="false">{#N/A,#N/A,FALSE,"속도"}</definedName>
    <definedName function="false" hidden="false" localSheetId="6" name="수량산출" vbProcedure="false">blankmacro1</definedName>
    <definedName function="false" hidden="false" localSheetId="6" name="수량산출2" vbProcedure="false">blankmacro1</definedName>
    <definedName function="false" hidden="false" localSheetId="6" name="수량산출5" vbProcedure="false">blankmacro1</definedName>
    <definedName function="false" hidden="false" localSheetId="6" name="수량산출서표지" vbProcedure="false">blankmacro1</definedName>
    <definedName function="false" hidden="false" localSheetId="6" name="수목" vbProcedure="false">#REF!</definedName>
    <definedName function="false" hidden="false" localSheetId="6" name="수수꽃다리" vbProcedure="false">#REF!</definedName>
    <definedName function="false" hidden="false" localSheetId="6" name="수입장비" vbProcedure="false">#REF!</definedName>
    <definedName function="false" hidden="false" localSheetId="6" name="수입장비계" vbProcedure="false">#REF!</definedName>
    <definedName function="false" hidden="true" localSheetId="6" name="수장3" vbProcedure="false">{"'중기작업1'!$A$1:$V$18"}</definedName>
    <definedName function="false" hidden="true" localSheetId="6" name="수정3" vbProcedure="false">{"'중기작업1'!$A$1:$V$18"}</definedName>
    <definedName function="false" hidden="true" localSheetId="6" name="순공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순공사비" vbProcedure="false">#REF!</definedName>
    <definedName function="false" hidden="true" localSheetId="6" name="순공사비집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순천지정" vbProcedure="false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function="false" hidden="false" localSheetId="6" name="숫자노무비" vbProcedure="false">#REF!</definedName>
    <definedName function="false" hidden="false" localSheetId="6" name="스트로브잣12노무" vbProcedure="false">#REF!</definedName>
    <definedName function="false" hidden="false" localSheetId="6" name="스트로브잣12재료" vbProcedure="false">#REF!</definedName>
    <definedName function="false" hidden="true" localSheetId="6" name="승" vbProcedure="false">{#N/A,#N/A,FALSE,"지침";#N/A,#N/A,FALSE,"환경분석";#N/A,#N/A,FALSE,"Sheet16"}</definedName>
    <definedName function="false" hidden="false" localSheetId="6" name="시설물수량" vbProcedure="false">#REF!</definedName>
    <definedName function="false" hidden="false" localSheetId="6" name="시설수량" vbProcedure="false">#REF!</definedName>
    <definedName function="false" hidden="false" localSheetId="6" name="시설일위" vbProcedure="false">#REF!</definedName>
    <definedName function="false" hidden="true" localSheetId="6" name="시행" vbProcedure="false">{#N/A,#N/A,FALSE,"이태원철근"}</definedName>
    <definedName function="false" hidden="false" localSheetId="6" name="식재" vbProcedure="false">#REF!</definedName>
    <definedName function="false" hidden="false" localSheetId="6" name="식재단가" vbProcedure="false">#REF!</definedName>
    <definedName function="false" hidden="false" localSheetId="6" name="식재단가1" vbProcedure="false">#REF!</definedName>
    <definedName function="false" hidden="true" localSheetId="6" name="신설" vbProcedure="false">{#N/A,#N/A,FALSE,"명세표"}</definedName>
    <definedName function="false" hidden="true" localSheetId="6" name="신성" vbProcedure="false">{#N/A,#N/A,TRUE,"손익보고"}</definedName>
    <definedName function="false" hidden="true" localSheetId="6" name="신안" vbProcedure="false">{#N/A,#N/A,FALSE,"현장 NCR 분석";#N/A,#N/A,FALSE,"현장품질감사";#N/A,#N/A,FALSE,"현장품질감사"}</definedName>
    <definedName function="false" hidden="false" localSheetId="6" name="신흥1호" vbProcedure="false">#REF!</definedName>
    <definedName function="false" hidden="false" localSheetId="6" name="신흥2호" vbProcedure="false">#REF!</definedName>
    <definedName function="false" hidden="true" localSheetId="6" name="실행내역" vbProcedure="false">{"'공사부문'!$A$6:$A$32"}</definedName>
    <definedName function="false" hidden="true" localSheetId="6" name="아" vbProcedure="false">#REF!</definedName>
    <definedName function="false" hidden="true" localSheetId="6" name="아ㅏㅓㅗㄹ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아ㅏㅓ랜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아늘믿" vbProcedure="false">blankmacro1</definedName>
    <definedName function="false" hidden="false" localSheetId="6" name="아니" vbProcedure="false">blankmacro1</definedName>
    <definedName function="false" hidden="true" localSheetId="6" name="아니오" vbProcedure="false">#REF!</definedName>
    <definedName function="false" hidden="false" localSheetId="6" name="아다" vbProcedure="false">blankmacro1</definedName>
    <definedName function="false" hidden="false" localSheetId="6" name="아디" vbProcedure="false">blankmacro1</definedName>
    <definedName function="false" hidden="true" localSheetId="6" name="아러ㅏ러" vbProcedure="false">{"'Firr(선)'!$AS$1:$AY$62","'Firr(사)'!$AS$1:$AY$62","'Firr(회)'!$AS$1:$AY$62","'Firr(선)'!$L$1:$V$62","'Firr(사)'!$L$1:$V$62","'Firr(회)'!$L$1:$V$62"}</definedName>
    <definedName function="false" hidden="true" localSheetId="6" name="아렁" vbProcedure="false">{#N/A,#N/A,FALSE,"예상손익";#N/A,#N/A,FALSE,"관리분석";#N/A,#N/A,FALSE,"장비분석";#N/A,#N/A,FALSE,"준설분석";#N/A,#N/A,FALSE,"철구분석"}</definedName>
    <definedName function="false" hidden="false" localSheetId="6" name="아서" vbProcedure="false">blankmacro1</definedName>
    <definedName function="false" hidden="false" localSheetId="6" name="아스팔트" vbProcedure="false">#REF!</definedName>
    <definedName function="false" hidden="true" localSheetId="6" name="아아" vbProcedure="false">#REF!</definedName>
    <definedName function="false" hidden="false" localSheetId="6" name="아이시밮" vbProcedure="false">dlog_show</definedName>
    <definedName function="false" hidden="true" localSheetId="6" name="아파트내역2" vbProcedure="false">{"'Sheet1'!$A$4:$M$21","'Sheet1'!$J$17:$K$19"}</definedName>
    <definedName function="false" hidden="true" localSheetId="6" name="안경록" vbProcedure="false">{#N/A,#N/A,FALSE,"토공2"}</definedName>
    <definedName function="false" hidden="false" localSheetId="6" name="안이사님" vbProcedure="false">blankmacro1</definedName>
    <definedName function="false" hidden="false" localSheetId="6" name="안전" vbProcedure="false">#REF!</definedName>
    <definedName function="false" hidden="false" localSheetId="6" name="안전관리비" vbProcedure="false">#REF!</definedName>
    <definedName function="false" hidden="false" localSheetId="6" name="안전관리비요율" vbProcedure="false">#REF!</definedName>
    <definedName function="false" hidden="true" localSheetId="6" name="암거재료집계" vbProcedure="false">{"'중기작업1'!$A$1:$V$18"}</definedName>
    <definedName function="false" hidden="false" localSheetId="6" name="앵커볼트" vbProcedure="false">#REF!</definedName>
    <definedName function="false" hidden="true" localSheetId="6" name="야간" vbProcedure="false">{#N/A,#N/A,FALSE,"지침";#N/A,#N/A,FALSE,"환경분석";#N/A,#N/A,FALSE,"Sheet16"}</definedName>
    <definedName function="false" hidden="true" localSheetId="6" name="양기용" vbProcedure="false">{#N/A,#N/A,FALSE,"월공사비집계표양식 (7)";#N/A,#N/A,FALSE,"월공사비집계표양식 (7)"}</definedName>
    <definedName function="false" hidden="false" localSheetId="6" name="양수량" vbProcedure="false">#REF!</definedName>
    <definedName function="false" hidden="false" localSheetId="6" name="양수시험" vbProcedure="false">#REF!</definedName>
    <definedName function="false" hidden="true" localSheetId="6" name="어ㅓㅓ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어ㅘ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어랑너ㅣㄹㄴㅇ" vbProcedure="false">{#N/A,"수불부",FALSE,"사급자재수불서";#N/A,"수불부",FALSE,"사급자재수불서"}</definedName>
    <definedName function="false" hidden="true" localSheetId="6" name="어름" vbProcedure="false">#REF!</definedName>
    <definedName function="false" hidden="false" localSheetId="6" name="어멈" vbProcedure="false">blankmacro1</definedName>
    <definedName function="false" hidden="false" localSheetId="6" name="어쩌라구" vbProcedure="false">blankmacro1</definedName>
    <definedName function="false" hidden="true" localSheetId="6" name="억이상" vbProcedure="false">{#N/A,#N/A,FALSE,"2~8번"}</definedName>
    <definedName function="false" hidden="true" localSheetId="6" name="언" vbProcedure="false">#REF!</definedName>
    <definedName function="false" hidden="true" localSheetId="6" name="업체" vbProcedure="false">#REF!</definedName>
    <definedName function="false" hidden="true" localSheetId="6" name="업체형틀" vbProcedure="false">{#N/A,#N/A,FALSE,"월공사비집계표양식 (7)";#N/A,#N/A,FALSE,"월공사비집계표양식 (7)"}</definedName>
    <definedName function="false" hidden="false" localSheetId="6" name="엊" vbProcedure="false">blankmacro1</definedName>
    <definedName function="false" hidden="false" localSheetId="6" name="여비교통" vbProcedure="false">#REF!</definedName>
    <definedName function="false" hidden="false" localSheetId="6" name="여비교통비" vbProcedure="false">#REF!</definedName>
    <definedName function="false" hidden="true" localSheetId="6" name="연습" vbProcedure="false">{#N/A,#N/A,TRUE,"총괄"}</definedName>
    <definedName function="false" hidden="true" localSheetId="6" name="염색기술3" vbProcedure="false">{#N/A,#N/A,TRUE,"손익보고"}</definedName>
    <definedName function="false" hidden="true" localSheetId="6" name="영상hw집계" vbProcedure="false">{"'용역비'!$A$4:$C$8"}</definedName>
    <definedName function="false" hidden="true" localSheetId="6" name="영원무역" vbProcedure="false">{#N/A,#N/A,TRUE,"총괄"}</definedName>
    <definedName function="false" hidden="true" localSheetId="6" name="예산" vbProcedure="false">{#N/A,#N/A,TRUE,"손익보고"}</definedName>
    <definedName function="false" hidden="true" localSheetId="6" name="예산서1" vbProcedure="false">#REF!</definedName>
    <definedName function="false" hidden="false" localSheetId="6" name="오라1" vbProcedure="false">#REF!</definedName>
    <definedName function="false" hidden="false" localSheetId="6" name="오주1호" vbProcedure="false">#REF!</definedName>
    <definedName function="false" hidden="false" localSheetId="6" name="오주2호" vbProcedure="false">#REF!</definedName>
    <definedName function="false" hidden="true" localSheetId="6" name="옥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옥외대비" vbProcedure="false">{#N/A,#N/A,FALSE,"이태원철근"}</definedName>
    <definedName function="false" hidden="true" localSheetId="6" name="우운희" vbProcedure="false">{#N/A,#VALUE!,TRUE,"Sheet1"}</definedName>
    <definedName function="false" hidden="false" localSheetId="6" name="우출" vbProcedure="false">blankmacro1</definedName>
    <definedName function="false" hidden="false" localSheetId="6" name="운반" vbProcedure="false">#REF!</definedName>
    <definedName function="false" hidden="false" localSheetId="6" name="운반비" vbProcedure="false">#REF!</definedName>
    <definedName function="false" hidden="false" localSheetId="6" name="운반산출" vbProcedure="false">#REF!</definedName>
    <definedName function="false" hidden="true" localSheetId="6" name="운영비" vbProcedure="false">{#N/A,#N/A,FALSE,"단가표지"}</definedName>
    <definedName function="false" hidden="true" localSheetId="6" name="원가2안" vbProcedure="false">{#N/A,#N/A,FALSE,"운반시간"}</definedName>
    <definedName function="false" hidden="true" localSheetId="6" name="원가계간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원가계산19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원가계산명" vbProcedure="false">#REF!</definedName>
    <definedName function="false" hidden="false" localSheetId="6" name="원가계산서" vbProcedure="false">#REF!</definedName>
    <definedName function="false" hidden="true" localSheetId="6" name="원각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원기기ㅣㅇ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원운1호" vbProcedure="false">#REF!</definedName>
    <definedName function="false" hidden="false" localSheetId="6" name="원운2호" vbProcedure="false">#REF!</definedName>
    <definedName function="false" hidden="false" localSheetId="6" name="원지반다짐" vbProcedure="false">#REF!</definedName>
    <definedName function="false" hidden="true" localSheetId="6" name="월드건설" vbProcedure="false">{#N/A,#N/A,FALSE,"이태원철근"}</definedName>
    <definedName function="false" hidden="true" localSheetId="6" name="월별투입" vbProcedure="false">{#N/A,#N/A,FALSE,"지침";#N/A,#N/A,FALSE,"환경분석";#N/A,#N/A,FALSE,"Sheet16"}</definedName>
    <definedName function="false" hidden="true" localSheetId="6" name="유" vbProcedure="false">{#N/A,#N/A,FALSE,"월공사비집계표양식 (7)";#N/A,#N/A,FALSE,"월공사비집계표양식 (7)"}</definedName>
    <definedName function="false" hidden="true" localSheetId="6" name="유문" vbProcedure="false">{#N/A,#N/A,FALSE,"월공사비집계표양식 (7)";#N/A,#N/A,FALSE,"월공사비집계표양식 (7)"}</definedName>
    <definedName function="false" hidden="true" localSheetId="6" name="유지관리비" vbProcedure="false">#REF!</definedName>
    <definedName function="false" hidden="false" localSheetId="6" name="육리1호" vbProcedure="false">#REF!</definedName>
    <definedName function="false" hidden="false" localSheetId="6" name="육리2호" vbProcedure="false">#REF!</definedName>
    <definedName function="false" hidden="true" localSheetId="6" name="으치" vbProcedure="false">#REF!</definedName>
    <definedName function="false" hidden="false" localSheetId="6" name="은산1호" vbProcedure="false">#REF!</definedName>
    <definedName function="false" hidden="true" localSheetId="6" name="의" vbProcedure="false">{#N/A,#N/A,FALSE,"운반시간"}</definedName>
    <definedName function="false" hidden="true" localSheetId="6" name="이" vbProcedure="false">{#N/A,#N/A,FALSE,"명세표"}</definedName>
    <definedName function="false" hidden="false" localSheetId="6" name="이각지주목" vbProcedure="false">#REF!</definedName>
    <definedName function="false" hidden="true" localSheetId="6" name="이강" vbProcedure="false">{#N/A,#N/A,FALSE,"월공사비집계표양식 (7)";#N/A,#N/A,FALSE,"월공사비집계표양식 (7)"}</definedName>
    <definedName function="false" hidden="true" localSheetId="6" name="이강환" vbProcedure="false">{#N/A,#N/A,FALSE,"월공사비집계표양식 (7)";#N/A,#N/A,FALSE,"월공사비집계표양식 (7)"}</definedName>
    <definedName function="false" hidden="true" localSheetId="6" name="이광훈11" vbProcedure="false">{#N/A,#N/A,FALSE,"명세표"}</definedName>
    <definedName function="false" hidden="true" localSheetId="6" name="이광훈15" vbProcedure="false">{#N/A,#N/A,FALSE,"명세표"}</definedName>
    <definedName function="false" hidden="true" localSheetId="6" name="이광훈16" vbProcedure="false">{#N/A,#N/A,FALSE,"명세표"}</definedName>
    <definedName function="false" hidden="true" localSheetId="6" name="이광훈17" vbProcedure="false">{#N/A,#N/A,FALSE,"명세표"}</definedName>
    <definedName function="false" hidden="true" localSheetId="6" name="이광훈18" vbProcedure="false">{#N/A,#N/A,FALSE,"명세표"}</definedName>
    <definedName function="false" hidden="true" localSheetId="6" name="이광훈2" vbProcedure="false">{#N/A,#N/A,FALSE,"명세표"}</definedName>
    <definedName function="false" hidden="true" localSheetId="6" name="이광훈20" vbProcedure="false">{#N/A,#N/A,FALSE,"명세표"}</definedName>
    <definedName function="false" hidden="true" localSheetId="6" name="이광훈21" vbProcedure="false">{#N/A,#N/A,FALSE,"명세표"}</definedName>
    <definedName function="false" hidden="true" localSheetId="6" name="이광훈22" vbProcedure="false">{#N/A,#N/A,FALSE,"명세표"}</definedName>
    <definedName function="false" hidden="true" localSheetId="6" name="이광훈23" vbProcedure="false">{#N/A,#N/A,FALSE,"명세표"}</definedName>
    <definedName function="false" hidden="true" localSheetId="6" name="이광훈24" vbProcedure="false">{#N/A,#N/A,FALSE,"명세표"}</definedName>
    <definedName function="false" hidden="true" localSheetId="6" name="이광훈4" vbProcedure="false">{#N/A,#N/A,FALSE,"명세표"}</definedName>
    <definedName function="false" hidden="true" localSheetId="6" name="이광훈6" vbProcedure="false">{#N/A,#N/A,FALSE,"명세표"}</definedName>
    <definedName function="false" hidden="true" localSheetId="6" name="이광훈7" vbProcedure="false">{#N/A,#N/A,FALSE,"명세표"}</definedName>
    <definedName function="false" hidden="true" localSheetId="6" name="이광훈8" vbProcedure="false">{#N/A,#N/A,FALSE,"명세표"}</definedName>
    <definedName function="false" hidden="true" localSheetId="6" name="이광훈9" vbProcedure="false">{#N/A,#N/A,FALSE,"명세표"}</definedName>
    <definedName function="false" hidden="true" localSheetId="6" name="이름표" vbProcedure="false">{#N/A,#N/A,FALSE,"단가표지"}</definedName>
    <definedName function="false" hidden="true" localSheetId="6" name="이릉" vbProcedure="false">#REF!</definedName>
    <definedName function="false" hidden="true" localSheetId="6" name="이미리" vbProcedure="false">#REF!</definedName>
    <definedName function="false" hidden="false" localSheetId="6" name="이상" vbProcedure="false">#REF!</definedName>
    <definedName function="false" hidden="true" localSheetId="6" name="이이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이정" vbProcedure="false">{#N/A,#N/A,FALSE,"2~8번"}</definedName>
    <definedName function="false" hidden="true" localSheetId="6" name="이철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인공" vbProcedure="false">#REF!</definedName>
    <definedName function="false" hidden="false" localSheetId="6" name="인동덩쿨" vbProcedure="false">#REF!</definedName>
    <definedName function="false" hidden="true" localSheetId="6" name="인력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인력기계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localSheetId="6" name="인상익" vbProcedure="false">blankmacro1</definedName>
    <definedName function="false" hidden="false" localSheetId="6" name="인원" vbProcedure="false">#REF!</definedName>
    <definedName function="false" hidden="false" localSheetId="6" name="인입공사비" vbProcedure="false">#REF!</definedName>
    <definedName function="false" hidden="true" localSheetId="6" name="인천지검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일.관" vbProcedure="false">#REF!</definedName>
    <definedName function="false" hidden="false" localSheetId="6" name="일공구가설" vbProcedure="false">#REF!</definedName>
    <definedName function="false" hidden="false" localSheetId="6" name="일공구직영비" vbProcedure="false">#REF!</definedName>
    <definedName function="false" hidden="true" localSheetId="6" name="일반부" vbProcedure="false">{#N/A,#N/A,FALSE,"조골재"}</definedName>
    <definedName function="false" hidden="false" localSheetId="6" name="입찰내역" vbProcedure="false">#REF!</definedName>
    <definedName function="false" hidden="true" localSheetId="6" name="자" vbProcedure="false">#REF!</definedName>
    <definedName function="false" hidden="false" localSheetId="6" name="자귀나무" vbProcedure="false">#REF!</definedName>
    <definedName function="false" hidden="false" localSheetId="6" name="자동제어1차공량산출" vbProcedure="false">blankmacro1</definedName>
    <definedName function="false" hidden="true" localSheetId="6" name="자미" vbProcedure="false">{#N/A,#N/A,FALSE,"명세표"}</definedName>
    <definedName function="false" hidden="false" localSheetId="6" name="자장" vbProcedure="false">blankmacro1</definedName>
    <definedName function="false" hidden="false" localSheetId="6" name="자재" vbProcedure="false">#REF!</definedName>
    <definedName function="false" hidden="true" localSheetId="6" name="자재3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자재단가근거" vbProcedure="false">#REF!</definedName>
    <definedName function="false" hidden="false" localSheetId="6" name="자재집계5" vbProcedure="false">blankmacro1</definedName>
    <definedName function="false" hidden="false" localSheetId="6" name="잔디5경" vbProcedure="false">#REF!</definedName>
    <definedName function="false" hidden="false" localSheetId="6" name="잔디5노무" vbProcedure="false">#REF!</definedName>
    <definedName function="false" hidden="false" localSheetId="6" name="잔디_평떼" vbProcedure="false">#REF!</definedName>
    <definedName function="false" hidden="false" localSheetId="6" name="장" vbProcedure="false">blankmacro1</definedName>
    <definedName function="false" hidden="false" localSheetId="6" name="장비부표" vbProcedure="false">#REF!</definedName>
    <definedName function="false" hidden="false" localSheetId="6" name="장산1" vbProcedure="false">#REF!</definedName>
    <definedName function="false" hidden="false" localSheetId="6" name="장산2" vbProcedure="false">#REF!</definedName>
    <definedName function="false" hidden="true" localSheetId="6" name="장위" vbProcedure="false">#REF!</definedName>
    <definedName function="false" hidden="true" localSheetId="6" name="장종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장종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전기" vbProcedure="false">{#N/A,#N/A,FALSE,"CCTV"}</definedName>
    <definedName function="false" hidden="true" localSheetId="6" name="전기내역" vbProcedure="false">{#N/A,#N/A,FALSE,"CCTV"}</definedName>
    <definedName function="false" hidden="true" localSheetId="6" name="전기특기조건" vbProcedure="false">{#N/A,#N/A,FALSE,"현장 NCR 분석";#N/A,#N/A,FALSE,"현장품질감사";#N/A,#N/A,FALSE,"현장품질감사"}</definedName>
    <definedName function="false" hidden="false" localSheetId="6" name="전력" vbProcedure="false">#REF!</definedName>
    <definedName function="false" hidden="true" localSheetId="6" name="전선관및접지내역서" vbProcedure="false">#REF!</definedName>
    <definedName function="false" hidden="false" localSheetId="6" name="정" vbProcedure="false">blankmacro1</definedName>
    <definedName function="false" hidden="true" localSheetId="6" name="정산표" vbProcedure="false">{#N/A,#N/A,FALSE,"현장 NCR 분석";#N/A,#N/A,FALSE,"현장품질감사";#N/A,#N/A,FALSE,"현장품질감사"}</definedName>
    <definedName function="false" hidden="true" localSheetId="6" name="제수문" vbProcedure="false">#REF!</definedName>
    <definedName function="false" hidden="true" localSheetId="6" name="제조3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제출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조수" vbProcedure="false">#REF!</definedName>
    <definedName function="false" hidden="false" localSheetId="6" name="조장" vbProcedure="false">#REF!</definedName>
    <definedName function="false" hidden="false" localSheetId="6" name="조적공" vbProcedure="false">#REF!</definedName>
    <definedName function="false" hidden="true" localSheetId="6" name="조차장" vbProcedure="false">{#N/A,#N/A,FALSE,"명세표"}</definedName>
    <definedName function="false" hidden="true" localSheetId="6" name="조찬" vbProcedure="false">#REF!</definedName>
    <definedName function="false" hidden="false" localSheetId="6" name="조합노" vbProcedure="false">#REF!</definedName>
    <definedName function="false" hidden="false" localSheetId="6" name="조합재" vbProcedure="false">#REF!</definedName>
    <definedName function="false" hidden="false" localSheetId="6" name="종목수" vbProcedure="false">#REF!</definedName>
    <definedName function="false" hidden="true" localSheetId="6" name="종합청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주7" vbProcedure="false">{#N/A,#N/A,FALSE,"부대1"}</definedName>
    <definedName function="false" hidden="false" localSheetId="6" name="주목" vbProcedure="false">#REF!</definedName>
    <definedName function="false" hidden="false" localSheetId="6" name="주목1.0노무" vbProcedure="false">#REF!</definedName>
    <definedName function="false" hidden="true" localSheetId="6" name="주요견적조건" vbProcedure="false">{#N/A,#N/A,FALSE,"사업총괄";#N/A,#N/A,FALSE,"장비사업";#N/A,#N/A,FALSE,"철구사업";#N/A,#N/A,FALSE,"준설사업"}</definedName>
    <definedName function="false" hidden="false" localSheetId="6" name="줄사철" vbProcedure="false">#REF!</definedName>
    <definedName function="false" hidden="false" localSheetId="6" name="중기기사" vbProcedure="false">#REF!</definedName>
    <definedName function="false" hidden="false" localSheetId="6" name="중기목록" vbProcedure="false">#REF!</definedName>
    <definedName function="false" hidden="true" localSheetId="6" name="중량산출" vbProcedure="false">{#N/A,#N/A,FALSE,"Sheet1"}</definedName>
    <definedName function="false" hidden="true" localSheetId="6" name="증감내역" vbProcedure="false">#REF!</definedName>
    <definedName function="false" hidden="false" localSheetId="6" name="지급수수" vbProcedure="false">#REF!</definedName>
    <definedName function="false" hidden="false" localSheetId="6" name="지급수수료" vbProcedure="false">#REF!</definedName>
    <definedName function="false" hidden="false" localSheetId="6" name="지동" vbProcedure="false">#REF!</definedName>
    <definedName function="false" hidden="true" localSheetId="6" name="지움" vbProcedure="false">{#N/A,#N/A,FALSE,"속도"}</definedName>
    <definedName function="false" hidden="true" localSheetId="6" name="지움2" vbProcedure="false">{#N/A,#N/A,FALSE,"토공2"}</definedName>
    <definedName function="false" hidden="true" localSheetId="6" name="지움3" vbProcedure="false">{#N/A,#N/A,FALSE,"표지목차"}</definedName>
    <definedName function="false" hidden="true" localSheetId="6" name="직매54P" vbProcedure="false">{#N/A,#N/A,TRUE,"토적및재료집계";#N/A,#N/A,TRUE,"토적및재료집계";#N/A,#N/A,TRUE,"단위량"}</definedName>
    <definedName function="false" hidden="false" localSheetId="6" name="진" vbProcedure="false">#REF!</definedName>
    <definedName function="false" hidden="false" localSheetId="6" name="진동롤라경" vbProcedure="false">#REF!</definedName>
    <definedName function="false" hidden="false" localSheetId="6" name="진동롤라노무" vbProcedure="false">#REF!</definedName>
    <definedName function="false" hidden="true" localSheetId="6" name="집계" vbProcedure="false">{#N/A,#N/A,FALSE,"명세표"}</definedName>
    <definedName function="false" hidden="false" localSheetId="6" name="집계1" vbProcedure="false">#REF!</definedName>
    <definedName function="false" hidden="false" localSheetId="6" name="집계2" vbProcedure="false">#REF!</definedName>
    <definedName function="false" hidden="false" localSheetId="6" name="집계표" vbProcedure="false">#REF!</definedName>
    <definedName function="false" hidden="false" localSheetId="6" name="집계표2" vbProcedure="false">집</definedName>
    <definedName function="false" hidden="true" localSheetId="6" name="집수" vbProcedure="false">#REF!</definedName>
    <definedName function="false" hidden="true" localSheetId="6" name="집포면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짜증나" vbProcedure="false">{#N/A,#N/A,FALSE,"Sheet1"}</definedName>
    <definedName function="false" hidden="true" localSheetId="6" name="짱1" vbProcedure="false">{#N/A,#N/A,FALSE,"속도"}</definedName>
    <definedName function="false" hidden="false" localSheetId="6" name="차" vbProcedure="false">blankmacro1</definedName>
    <definedName function="false" hidden="false" localSheetId="6" name="착공월" vbProcedure="false">#REF!</definedName>
    <definedName function="false" hidden="false" localSheetId="6" name="착정규격" vbProcedure="false">#REF!</definedName>
    <definedName function="false" hidden="false" localSheetId="6" name="착정심도" vbProcedure="false">#REF!</definedName>
    <definedName function="false" hidden="true" localSheetId="6" name="철골협의" vbProcedure="false">{#N/A,#N/A,FALSE,"현장 NCR 분석";#N/A,#N/A,FALSE,"현장품질감사";#N/A,#N/A,FALSE,"현장품질감사"}</definedName>
    <definedName function="false" hidden="true" localSheetId="6" name="철콘부대외" vbProcedure="false">{#N/A,#N/A,FALSE,"Sheet1"}</definedName>
    <definedName function="false" hidden="true" localSheetId="6" name="총공" vbProcedure="false">{#N/A,#N/A,FALSE,"운반시간"}</definedName>
    <definedName function="false" hidden="true" localSheetId="6" name="총괄" vbProcedure="false">{#N/A,#N/A,TRUE,"총괄"}</definedName>
    <definedName function="false" hidden="true" localSheetId="6" name="총괄표" vbProcedure="false">{#N/A,#N/A,TRUE,"총괄"}</definedName>
    <definedName function="false" hidden="true" localSheetId="6" name="최종추가합" vbProcedure="false">#REF!</definedName>
    <definedName function="false" hidden="true" localSheetId="6" name="추2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추가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추가2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추가E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false" localSheetId="6" name="추별1" vbProcedure="false">#REF!</definedName>
    <definedName function="false" hidden="true" localSheetId="6" name="추초" vbProcedure="false">#REF!</definedName>
    <definedName function="false" hidden="true" localSheetId="6" name="충동" vbProcedure="false">#REF!</definedName>
    <definedName function="false" hidden="false" localSheetId="6" name="취소" vbProcedure="false">blankmacro1</definedName>
    <definedName function="false" hidden="true" localSheetId="6" name="취입" vbProcedure="false">#REF!</definedName>
    <definedName function="false" hidden="false" localSheetId="6" name="측량" vbProcedure="false">#REF!</definedName>
    <definedName function="false" hidden="false" localSheetId="6" name="칠" vbProcedure="false">#REF!</definedName>
    <definedName function="false" hidden="true" localSheetId="6" name="칠곡" vbProcedure="false">{#N/A,#N/A,TRUE,"손익보고"}</definedName>
    <definedName function="false" hidden="true" localSheetId="6" name="칠성" vbProcedure="false">#REF!</definedName>
    <definedName function="false" hidden="true" localSheetId="6" name="케이블간지" vbProcedure="false">{#N/A,#N/A,TRUE,"토적및재료집계";#N/A,#N/A,TRUE,"토적및재료집계";#N/A,#N/A,TRUE,"단위량"}</definedName>
    <definedName function="false" hidden="true" localSheetId="6" name="콘크리트2" vbProcedure="false">#REF!</definedName>
    <definedName function="false" hidden="false" localSheetId="6" name="타이어경" vbProcedure="false">#REF!</definedName>
    <definedName function="false" hidden="false" localSheetId="6" name="타이어노무" vbProcedure="false">#REF!</definedName>
    <definedName function="false" hidden="false" localSheetId="6" name="타이어재료" vbProcedure="false">#REF!</definedName>
    <definedName function="false" hidden="false" localSheetId="6" name="템플리트모듈1" vbProcedure="false">blankmacro1</definedName>
    <definedName function="false" hidden="false" localSheetId="6" name="템플리트모듈2" vbProcedure="false">blankmacro1</definedName>
    <definedName function="false" hidden="false" localSheetId="6" name="템플리트모듈3" vbProcedure="false">blankmacro1</definedName>
    <definedName function="false" hidden="false" localSheetId="6" name="템플리트모듈4" vbProcedure="false">blankmacro1</definedName>
    <definedName function="false" hidden="false" localSheetId="6" name="템플리트모듈5" vbProcedure="false">blankmacro1</definedName>
    <definedName function="false" hidden="false" localSheetId="6" name="템플리트모듈6" vbProcedure="false">blankmacro1</definedName>
    <definedName function="false" hidden="true" localSheetId="6" name="토" vbProcedure="false">#REF!</definedName>
    <definedName function="false" hidden="false" localSheetId="6" name="토공품목" vbProcedure="false">#REF!</definedName>
    <definedName function="false" hidden="true" localSheetId="6" name="토목공사" vbProcedure="false">{#N/A,#N/A,FALSE,"이태원철근"}</definedName>
    <definedName function="false" hidden="true" localSheetId="6" name="토목설계" vbProcedure="false">{#N/A,#N/A,FALSE,"골재소요량";#N/A,#N/A,FALSE,"골재소요량"}</definedName>
    <definedName function="false" hidden="true" localSheetId="6" name="토목실견적" vbProcedure="false">{#N/A,#N/A,FALSE,"이태원철근"}</definedName>
    <definedName function="false" hidden="false" localSheetId="6" name="통신집계" vbProcedure="false">blankmacro1</definedName>
    <definedName function="false" hidden="false" localSheetId="6" name="특수비계공" vbProcedure="false">#REF!</definedName>
    <definedName function="false" hidden="false" localSheetId="6" name="파고라노" vbProcedure="false">#REF!</definedName>
    <definedName function="false" hidden="false" localSheetId="6" name="파고라재" vbProcedure="false">#REF!</definedName>
    <definedName function="false" hidden="true" localSheetId="6" name="파일" vbProcedure="false">#REF!</definedName>
    <definedName function="false" hidden="true" localSheetId="6" name="팔" vbProcedure="false">#REF!</definedName>
    <definedName function="false" hidden="true" localSheetId="6" name="패널물량" vbProcedure="false">{#N/A,#N/A,FALSE,"전열산출서"}</definedName>
    <definedName function="false" hidden="false" localSheetId="6" name="펌프구경" vbProcedure="false">#REF!</definedName>
    <definedName function="false" hidden="true" localSheetId="6" name="페기갑지" vbProcedure="false">#REF!</definedName>
    <definedName function="false" hidden="true" localSheetId="6" name="폐기" vbProcedure="false">#REF!</definedName>
    <definedName function="false" hidden="true" localSheetId="6" name="폐기갑지용" vbProcedure="false">#REF!</definedName>
    <definedName function="false" hidden="false" localSheetId="6" name="폐기물집계표" vbProcedure="false">집</definedName>
    <definedName function="false" hidden="false" localSheetId="6" name="폐추니아" vbProcedure="false">#REF!</definedName>
    <definedName function="false" hidden="false" localSheetId="6" name="포장공" vbProcedure="false">blankmacro1</definedName>
    <definedName function="false" hidden="false" localSheetId="6" name="포장공1" vbProcedure="false">blankmacro1</definedName>
    <definedName function="false" hidden="false" localSheetId="6" name="표면보호경비" vbProcedure="false">#REF!</definedName>
    <definedName function="false" hidden="false" localSheetId="6" name="표면보호노무비" vbProcedure="false">#REF!</definedName>
    <definedName function="false" hidden="false" localSheetId="6" name="표면보호재료비" vbProcedure="false">#REF!</definedName>
    <definedName function="false" hidden="true" localSheetId="6" name="표지1" vbProcedure="false">{"'용역비'!$A$4:$C$8"}</definedName>
    <definedName function="false" hidden="true" localSheetId="6" name="표지3" vbProcedure="false">{#N/A,#N/A,FALSE,"이정표"}</definedName>
    <definedName function="false" hidden="false" localSheetId="6" name="표지다" vbProcedure="false">#REF!</definedName>
    <definedName function="false" hidden="true" localSheetId="6" name="표표표자지" vbProcedure="false">{#N/A,#N/A,FALSE,"골재소요량";#N/A,#N/A,FALSE,"골재소요량"}</definedName>
    <definedName function="false" hidden="false" localSheetId="6" name="품목" vbProcedure="false">#REF!</definedName>
    <definedName function="false" hidden="false" localSheetId="6" name="품목분류" vbProcedure="false">#REF!</definedName>
    <definedName function="false" hidden="false" localSheetId="6" name="품위내역서" vbProcedure="false">blankmacro1</definedName>
    <definedName function="false" hidden="false" localSheetId="6" name="품질시험비" vbProcedure="false">#REF!</definedName>
    <definedName function="false" hidden="true" localSheetId="6" name="풍전2" vbProcedure="false">{#N/A,#N/A,TRUE,"손익보고"}</definedName>
    <definedName function="false" hidden="true" localSheetId="6" name="피로티" vbProcedure="false">{#N/A,#N/A,FALSE,"이태원철근"}</definedName>
    <definedName function="false" hidden="true" localSheetId="6" name="피로티1" vbProcedure="false">{#N/A,#N/A,FALSE,"이태원철근"}</definedName>
    <definedName function="false" hidden="true" localSheetId="6" name="하" vbProcedure="false">{#N/A,#N/A,FALSE,"지침";#N/A,#N/A,FALSE,"환경분석";#N/A,#N/A,FALSE,"Sheet16"}</definedName>
    <definedName function="false" hidden="false" localSheetId="6" name="하5" vbProcedure="false">#REF!</definedName>
    <definedName function="false" hidden="false" localSheetId="6" name="하6" vbProcedure="false">#REF!</definedName>
    <definedName function="false" hidden="false" localSheetId="6" name="하_지" vbProcedure="false">#REF!</definedName>
    <definedName function="false" hidden="true" localSheetId="6" name="하도급" vbProcedure="false">{#N/A,#N/A,FALSE,"사업총괄";#N/A,#N/A,FALSE,"장비사업";#N/A,#N/A,FALSE,"철구사업";#N/A,#N/A,FALSE,"준설사업"}</definedName>
    <definedName function="false" hidden="false" localSheetId="6" name="하도급1" vbProcedure="false">#REF!</definedName>
    <definedName function="false" hidden="false" localSheetId="6" name="하도급2" vbProcedure="false">#REF!</definedName>
    <definedName function="false" hidden="false" localSheetId="6" name="하도급3" vbProcedure="false">#REF!</definedName>
    <definedName function="false" hidden="true" localSheetId="6" name="하도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하동사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하수도2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true" localSheetId="6" name="하하하" vbProcedure="false">{#N/A,#N/A,FALSE,"단가표지"}</definedName>
    <definedName function="false" hidden="true" localSheetId="6" name="한" vbProcedure="false">#REF!</definedName>
    <definedName function="false" hidden="true" localSheetId="6" name="한전수" vbProcedure="false">{#N/A,#N/A,FALSE,"명세표"}</definedName>
    <definedName function="false" hidden="true" localSheetId="6" name="해" vbProcedure="false">#REF!</definedName>
    <definedName function="false" hidden="true" localSheetId="6" name="현조" vbProcedure="false">#REF!</definedName>
    <definedName function="false" hidden="true" localSheetId="6" name="협력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협력1" vbProcedure="fals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function="false" hidden="true" localSheetId="6" name="형틀업체" vbProcedure="false">{#N/A,#N/A,FALSE,"월공사비집계표양식 (7)";#N/A,#N/A,FALSE,"월공사비집계표양식 (7)"}</definedName>
    <definedName function="false" hidden="true" localSheetId="6" name="호ㅓ" vbProcedure="fa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function="false" hidden="false" localSheetId="6" name="홍단풍" vbProcedure="false">#REF!</definedName>
    <definedName function="false" hidden="false" localSheetId="6" name="화신1호" vbProcedure="false">#REF!</definedName>
    <definedName function="false" hidden="false" localSheetId="6" name="화신2호" vbProcedure="false">#REF!</definedName>
    <definedName function="false" hidden="true" localSheetId="6" name="확역서1" vbProcedure="false">#REF!</definedName>
    <definedName function="false" hidden="true" localSheetId="6" name="환" vbProcedure="false">{#N/A,#N/A,FALSE,"월공사비집계표양식 (7)";#N/A,#N/A,FALSE,"월공사비집계표양식 (7)"}</definedName>
    <definedName function="false" hidden="false" localSheetId="6" name="환율" vbProcedure="false">#REF!</definedName>
    <definedName function="false" hidden="false" localSheetId="6" name="황" vbProcedure="false">#REF!</definedName>
    <definedName function="false" hidden="false" localSheetId="6" name="회사경비" vbProcedure="false">#REF!</definedName>
    <definedName function="false" hidden="false" localSheetId="6" name="회사명" vbProcedure="false">#REF!</definedName>
    <definedName function="false" hidden="false" localSheetId="6" name="효구" vbProcedure="false">dlog_show</definedName>
    <definedName function="false" hidden="false" localSheetId="6" name="효자" vbProcedure="false">dlog_show</definedName>
    <definedName function="false" hidden="false" localSheetId="6" name="효자건설" vbProcedure="false">dlog_show</definedName>
    <definedName function="false" hidden="true" localSheetId="6" name="희성" vbProcedure="false">{#N/A,#N/A,FALSE,"명세표"}</definedName>
    <definedName function="false" hidden="false" localSheetId="7" name="aaaaaa" vbProcedure="false">blankmacro1</definedName>
    <definedName function="false" hidden="false" localSheetId="7" name="aaaaaaa" vbProcedure="false">blankmacro1</definedName>
    <definedName function="false" hidden="false" localSheetId="7" name="aaaaaaaa" vbProcedure="false">blankmacro1</definedName>
    <definedName function="false" hidden="false" localSheetId="7" name="aaaaaaaaaaa" vbProcedure="false">blankmacro1</definedName>
    <definedName function="false" hidden="false" localSheetId="7" name="aaaaaaaaaaaaaaa" vbProcedure="false">blankmacro1</definedName>
    <definedName function="false" hidden="false" localSheetId="7" name="aaaaaaaaaaaaaaaaaaaaaa" vbProcedure="false">blankmacro1</definedName>
    <definedName function="false" hidden="false" localSheetId="7" name="DDDDA" vbProcedure="false">blankmacro1</definedName>
    <definedName function="false" hidden="false" localSheetId="7" name="DDS" vbProcedure="false">blankmacro1</definedName>
    <definedName function="false" hidden="false" localSheetId="7" name="DDW" vbProcedure="false">blankmacro1</definedName>
    <definedName function="false" hidden="false" localSheetId="7" name="DKD" vbProcedure="false">blankmacro1</definedName>
    <definedName function="false" hidden="false" localSheetId="7" name="DKE" vbProcedure="false">blankmacro1</definedName>
    <definedName function="false" hidden="false" localSheetId="7" name="dlsrks" vbProcedure="false">blankmacro1</definedName>
    <definedName function="false" hidden="false" localSheetId="7" name="DS" vbProcedure="false">blankmacro1</definedName>
    <definedName function="false" hidden="false" localSheetId="7" name="DWS" vbProcedure="false">blankmacro1</definedName>
    <definedName function="false" hidden="false" localSheetId="7" name="eeeeeeeee" vbProcedure="false">blankmacro1</definedName>
    <definedName function="false" hidden="false" localSheetId="7" name="EXE" vbProcedure="false">blankmacro1</definedName>
    <definedName function="false" hidden="false" localSheetId="7" name="MMM" vbProcedure="false">blankmacro1</definedName>
    <definedName function="false" hidden="false" localSheetId="7" name="Q" vbProcedure="false">blankmacro1</definedName>
    <definedName function="false" hidden="false" localSheetId="7" name="qqqq" vbProcedure="false">dlog_show</definedName>
    <definedName function="false" hidden="false" localSheetId="7" name="rkatnwl" vbProcedure="false">blankmacro1</definedName>
    <definedName function="false" hidden="false" localSheetId="7" name="www" vbProcedure="false">blankmacro1</definedName>
    <definedName function="false" hidden="false" localSheetId="7" name="wwwww" vbProcedure="false">blankmacro1</definedName>
    <definedName function="false" hidden="false" localSheetId="7" name="wwwwww" vbProcedure="false">blankmacro1</definedName>
    <definedName function="false" hidden="false" localSheetId="7" name="wwwwwwww" vbProcedure="false">blankmacro1</definedName>
    <definedName function="false" hidden="false" localSheetId="7" name="wwwwwwwwww" vbProcedure="false">blankmacro1</definedName>
    <definedName function="false" hidden="false" localSheetId="7" name="wwwwwwwwwwwwww" vbProcedure="false">blankmacro1</definedName>
    <definedName function="false" hidden="false" localSheetId="7" name="wwwwwwwwwwwwwwwww" vbProcedure="false">blankmacro1</definedName>
    <definedName function="false" hidden="false" localSheetId="7" name="ㄴㅇ" vbProcedure="false">dlog_show</definedName>
    <definedName function="false" hidden="false" localSheetId="7" name="ㄵㄷ" vbProcedure="false">dlog_show</definedName>
    <definedName function="false" hidden="false" localSheetId="7" name="ㄹㅇㄴㄹㅇㄹㄴㄹㅇㄹㅇㄹㅇㄴ" vbProcedure="false">blankmacro1</definedName>
    <definedName function="false" hidden="false" localSheetId="7" name="ㅂㅂㅂㅂㅂ" vbProcedure="false">blankmacro1</definedName>
    <definedName function="false" hidden="false" localSheetId="7" name="ㅇㄴㅁㅇㄴ" vbProcedure="false">blankmacro1</definedName>
    <definedName function="false" hidden="false" localSheetId="7" name="ㅇㄴㅇㄴㅇ" vbProcedure="false">blankmacro1</definedName>
    <definedName function="false" hidden="false" localSheetId="7" name="갑지" vbProcedure="false">blankmacro1</definedName>
    <definedName function="false" hidden="false" localSheetId="7" name="강수지" vbProcedure="false">blankmacro1</definedName>
    <definedName function="false" hidden="false" localSheetId="7" name="거래" vbProcedure="false">blankmacro1</definedName>
    <definedName function="false" hidden="false" localSheetId="7" name="건축내역" vbProcedure="false">blankmacro1</definedName>
    <definedName function="false" hidden="false" localSheetId="7" name="견적1" vbProcedure="false">dlog_show</definedName>
    <definedName function="false" hidden="false" localSheetId="7" name="경순" vbProcedure="false">blankmacro1</definedName>
    <definedName function="false" hidden="false" localSheetId="7" name="공" vbProcedure="false">blankmacro1</definedName>
    <definedName function="false" hidden="false" localSheetId="7" name="구분" vbProcedure="false">blankmacro1</definedName>
    <definedName function="false" hidden="false" localSheetId="7" name="구분1" vbProcedure="false">blankmacro1</definedName>
    <definedName function="false" hidden="false" localSheetId="7" name="기계3" vbProcedure="false">blankmacro1</definedName>
    <definedName function="false" hidden="false" localSheetId="7" name="기계4" vbProcedure="false">blankmacro1</definedName>
    <definedName function="false" hidden="false" localSheetId="7" name="김" vbProcedure="false">blankmacro1</definedName>
    <definedName function="false" hidden="false" localSheetId="7" name="김진성1" vbProcedure="false">blankmacro1</definedName>
    <definedName function="false" hidden="false" localSheetId="7" name="남덕" vbProcedure="false">blankmacro1</definedName>
    <definedName function="false" hidden="false" localSheetId="7" name="남덕1" vbProcedure="false">blankmacro1</definedName>
    <definedName function="false" hidden="false" localSheetId="7" name="내용" vbProcedure="false">blankmacro1</definedName>
    <definedName function="false" hidden="false" localSheetId="7" name="노임1" vbProcedure="false">blankmacro1</definedName>
    <definedName function="false" hidden="false" localSheetId="7" name="노임2" vbProcedure="false">blankmacro1</definedName>
    <definedName function="false" hidden="false" localSheetId="7" name="라라" vbProcedure="false">blankmacro1</definedName>
    <definedName function="false" hidden="false" localSheetId="7" name="말" vbProcedure="false">blankmacro1</definedName>
    <definedName function="false" hidden="false" localSheetId="7" name="머야ㅕ" vbProcedure="false">blankmacro1</definedName>
    <definedName function="false" hidden="false" localSheetId="7" name="박은하" vbProcedure="false">dlog_show</definedName>
    <definedName function="false" hidden="false" localSheetId="7" name="방송" vbProcedure="false">blankmacro1</definedName>
    <definedName function="false" hidden="false" localSheetId="7" name="보일러" vbProcedure="false">blankmacro1</definedName>
    <definedName function="false" hidden="false" localSheetId="7" name="부대입찰잡비" vbProcedure="false">dlog_show</definedName>
    <definedName function="false" hidden="false" localSheetId="7" name="부토" vbProcedure="false">dlog_show</definedName>
    <definedName function="false" hidden="false" localSheetId="7" name="분전반" vbProcedure="false">blankmacro1</definedName>
    <definedName function="false" hidden="false" localSheetId="7" name="산" vbProcedure="false">blankmacro1</definedName>
    <definedName function="false" hidden="false" localSheetId="7" name="산출근거" vbProcedure="false">blankmacro1</definedName>
    <definedName function="false" hidden="false" localSheetId="7" name="소방내역" vbProcedure="false">blankmacro1</definedName>
    <definedName function="false" hidden="false" localSheetId="7" name="소방내역서" vbProcedure="false">blankmacro1</definedName>
    <definedName function="false" hidden="false" localSheetId="7" name="수량산출" vbProcedure="false">blankmacro1</definedName>
    <definedName function="false" hidden="false" localSheetId="7" name="수량산출2" vbProcedure="false">blankmacro1</definedName>
    <definedName function="false" hidden="false" localSheetId="7" name="수량산출5" vbProcedure="false">blankmacro1</definedName>
    <definedName function="false" hidden="false" localSheetId="7" name="수량산출서표지" vbProcedure="false">blankmacro1</definedName>
    <definedName function="false" hidden="false" localSheetId="7" name="아늘믿" vbProcedure="false">blankmacro1</definedName>
    <definedName function="false" hidden="false" localSheetId="7" name="아니" vbProcedure="false">blankmacro1</definedName>
    <definedName function="false" hidden="false" localSheetId="7" name="아다" vbProcedure="false">blankmacro1</definedName>
    <definedName function="false" hidden="false" localSheetId="7" name="아디" vbProcedure="false">blankmacro1</definedName>
    <definedName function="false" hidden="false" localSheetId="7" name="아서" vbProcedure="false">blankmacro1</definedName>
    <definedName function="false" hidden="false" localSheetId="7" name="아이시밮" vbProcedure="false">dlog_show</definedName>
    <definedName function="false" hidden="false" localSheetId="7" name="안이사님" vbProcedure="false">blankmacro1</definedName>
    <definedName function="false" hidden="false" localSheetId="7" name="어멈" vbProcedure="false">blankmacro1</definedName>
    <definedName function="false" hidden="false" localSheetId="7" name="어쩌라구" vbProcedure="false">blankmacro1</definedName>
    <definedName function="false" hidden="false" localSheetId="7" name="엊" vbProcedure="false">blankmacro1</definedName>
    <definedName function="false" hidden="false" localSheetId="7" name="우출" vbProcedure="false">blankmacro1</definedName>
    <definedName function="false" hidden="false" localSheetId="7" name="인상익" vbProcedure="false">blankmacro1</definedName>
    <definedName function="false" hidden="false" localSheetId="7" name="자" vbProcedure="false">blankmacro1</definedName>
    <definedName function="false" hidden="false" localSheetId="7" name="자동제어1차공량산출" vbProcedure="false">blankmacro1</definedName>
    <definedName function="false" hidden="false" localSheetId="7" name="자장" vbProcedure="false">blankmacro1</definedName>
    <definedName function="false" hidden="false" localSheetId="7" name="자재집계5" vbProcedure="false">blankmacro1</definedName>
    <definedName function="false" hidden="false" localSheetId="7" name="장" vbProcedure="false">blankmacro1</definedName>
    <definedName function="false" hidden="false" localSheetId="7" name="정" vbProcedure="false">blankmacro1</definedName>
    <definedName function="false" hidden="false" localSheetId="7" name="차" vbProcedure="false">blankmacro1</definedName>
    <definedName function="false" hidden="false" localSheetId="7" name="취소" vbProcedure="false">blankmacro1</definedName>
    <definedName function="false" hidden="false" localSheetId="7" name="템플리트모듈1" vbProcedure="false">blankmacro1</definedName>
    <definedName function="false" hidden="false" localSheetId="7" name="템플리트모듈2" vbProcedure="false">blankmacro1</definedName>
    <definedName function="false" hidden="false" localSheetId="7" name="템플리트모듈3" vbProcedure="false">blankmacro1</definedName>
    <definedName function="false" hidden="false" localSheetId="7" name="템플리트모듈4" vbProcedure="false">blankmacro1</definedName>
    <definedName function="false" hidden="false" localSheetId="7" name="템플리트모듈5" vbProcedure="false">blankmacro1</definedName>
    <definedName function="false" hidden="false" localSheetId="7" name="템플리트모듈6" vbProcedure="false">blankmacro1</definedName>
    <definedName function="false" hidden="false" localSheetId="7" name="통신집계" vbProcedure="false">blankmacro1</definedName>
    <definedName function="false" hidden="false" localSheetId="7" name="포장공" vbProcedure="false">blankmacro1</definedName>
    <definedName function="false" hidden="false" localSheetId="7" name="포장공1" vbProcedure="false">blankmacro1</definedName>
    <definedName function="false" hidden="false" localSheetId="7" name="품위내역서" vbProcedure="false">blankmacro1</definedName>
    <definedName function="false" hidden="false" localSheetId="7" name="효구" vbProcedure="false">dlog_show</definedName>
    <definedName function="false" hidden="false" localSheetId="7" name="효자" vbProcedure="false">dlog_show</definedName>
    <definedName function="false" hidden="false" localSheetId="7" name="효자건설" vbProcedure="false">dlog_show</definedName>
    <definedName function="false" hidden="false" localSheetId="9" name="aaaaaa" vbProcedure="false">blankmacro1</definedName>
    <definedName function="false" hidden="false" localSheetId="9" name="aaaaaaa" vbProcedure="false">blankmacro1</definedName>
    <definedName function="false" hidden="false" localSheetId="9" name="aaaaaaaa" vbProcedure="false">blankmacro1</definedName>
    <definedName function="false" hidden="false" localSheetId="9" name="aaaaaaaaaaa" vbProcedure="false">blankmacro1</definedName>
    <definedName function="false" hidden="false" localSheetId="9" name="aaaaaaaaaaaaaaa" vbProcedure="false">blankmacro1</definedName>
    <definedName function="false" hidden="false" localSheetId="9" name="aaaaaaaaaaaaaaaaaaaaaa" vbProcedure="false">blankmacro1</definedName>
    <definedName function="false" hidden="false" localSheetId="9" name="DDDDA" vbProcedure="false">blankmacro1</definedName>
    <definedName function="false" hidden="false" localSheetId="9" name="DDS" vbProcedure="false">blankmacro1</definedName>
    <definedName function="false" hidden="false" localSheetId="9" name="DDW" vbProcedure="false">blankmacro1</definedName>
    <definedName function="false" hidden="false" localSheetId="9" name="DKD" vbProcedure="false">blankmacro1</definedName>
    <definedName function="false" hidden="false" localSheetId="9" name="DKE" vbProcedure="false">blankmacro1</definedName>
    <definedName function="false" hidden="false" localSheetId="9" name="dlsrks" vbProcedure="false">blankmacro1</definedName>
    <definedName function="false" hidden="false" localSheetId="9" name="DS" vbProcedure="false">blankmacro1</definedName>
    <definedName function="false" hidden="false" localSheetId="9" name="DWS" vbProcedure="false">blankmacro1</definedName>
    <definedName function="false" hidden="false" localSheetId="9" name="eeeeeeeee" vbProcedure="false">blankmacro1</definedName>
    <definedName function="false" hidden="false" localSheetId="9" name="EXE" vbProcedure="false">blankmacro1</definedName>
    <definedName function="false" hidden="false" localSheetId="9" name="MMM" vbProcedure="false">blankmacro1</definedName>
    <definedName function="false" hidden="false" localSheetId="9" name="Q" vbProcedure="false">blankmacro1</definedName>
    <definedName function="false" hidden="false" localSheetId="9" name="qqqq" vbProcedure="false">dlog_show</definedName>
    <definedName function="false" hidden="false" localSheetId="9" name="rkatnwl" vbProcedure="false">blankmacro1</definedName>
    <definedName function="false" hidden="false" localSheetId="9" name="www" vbProcedure="false">blankmacro1</definedName>
    <definedName function="false" hidden="false" localSheetId="9" name="wwwww" vbProcedure="false">blankmacro1</definedName>
    <definedName function="false" hidden="false" localSheetId="9" name="wwwwww" vbProcedure="false">blankmacro1</definedName>
    <definedName function="false" hidden="false" localSheetId="9" name="wwwwwwww" vbProcedure="false">blankmacro1</definedName>
    <definedName function="false" hidden="false" localSheetId="9" name="wwwwwwwwww" vbProcedure="false">blankmacro1</definedName>
    <definedName function="false" hidden="false" localSheetId="9" name="wwwwwwwwwwwwww" vbProcedure="false">blankmacro1</definedName>
    <definedName function="false" hidden="false" localSheetId="9" name="wwwwwwwwwwwwwwwww" vbProcedure="false">blankmacro1</definedName>
    <definedName function="false" hidden="false" localSheetId="9" name="ㄴㅇ" vbProcedure="false">dlog_show</definedName>
    <definedName function="false" hidden="false" localSheetId="9" name="ㄵㄷ" vbProcedure="false">dlog_show</definedName>
    <definedName function="false" hidden="false" localSheetId="9" name="ㄹㅇㄴㄹㅇㄹㄴㄹㅇㄹㅇㄹㅇㄴ" vbProcedure="false">blankmacro1</definedName>
    <definedName function="false" hidden="false" localSheetId="9" name="ㅂㅂㅂㅂㅂ" vbProcedure="false">blankmacro1</definedName>
    <definedName function="false" hidden="false" localSheetId="9" name="ㅇㄴㅁㅇㄴ" vbProcedure="false">blankmacro1</definedName>
    <definedName function="false" hidden="false" localSheetId="9" name="ㅇㄴㅇㄴㅇ" vbProcedure="false">blankmacro1</definedName>
    <definedName function="false" hidden="false" localSheetId="9" name="갑지" vbProcedure="false">blankmacro1</definedName>
    <definedName function="false" hidden="false" localSheetId="9" name="강수지" vbProcedure="false">blankmacro1</definedName>
    <definedName function="false" hidden="false" localSheetId="9" name="거래" vbProcedure="false">blankmacro1</definedName>
    <definedName function="false" hidden="false" localSheetId="9" name="건축내역" vbProcedure="false">blankmacro1</definedName>
    <definedName function="false" hidden="false" localSheetId="9" name="견적1" vbProcedure="false">dlog_show</definedName>
    <definedName function="false" hidden="false" localSheetId="9" name="경순" vbProcedure="false">blankmacro1</definedName>
    <definedName function="false" hidden="false" localSheetId="9" name="공" vbProcedure="false">blankmacro1</definedName>
    <definedName function="false" hidden="false" localSheetId="9" name="구분" vbProcedure="false">blankmacro1</definedName>
    <definedName function="false" hidden="false" localSheetId="9" name="구분1" vbProcedure="false">blankmacro1</definedName>
    <definedName function="false" hidden="false" localSheetId="9" name="기계3" vbProcedure="false">blankmacro1</definedName>
    <definedName function="false" hidden="false" localSheetId="9" name="기계4" vbProcedure="false">blankmacro1</definedName>
    <definedName function="false" hidden="false" localSheetId="9" name="김" vbProcedure="false">blankmacro1</definedName>
    <definedName function="false" hidden="false" localSheetId="9" name="김진성1" vbProcedure="false">blankmacro1</definedName>
    <definedName function="false" hidden="false" localSheetId="9" name="남덕" vbProcedure="false">blankmacro1</definedName>
    <definedName function="false" hidden="false" localSheetId="9" name="남덕1" vbProcedure="false">blankmacro1</definedName>
    <definedName function="false" hidden="false" localSheetId="9" name="내용" vbProcedure="false">blankmacro1</definedName>
    <definedName function="false" hidden="false" localSheetId="9" name="노임1" vbProcedure="false">blankmacro1</definedName>
    <definedName function="false" hidden="false" localSheetId="9" name="노임2" vbProcedure="false">blankmacro1</definedName>
    <definedName function="false" hidden="false" localSheetId="9" name="라라" vbProcedure="false">blankmacro1</definedName>
    <definedName function="false" hidden="false" localSheetId="9" name="말" vbProcedure="false">blankmacro1</definedName>
    <definedName function="false" hidden="false" localSheetId="9" name="머야ㅕ" vbProcedure="false">blankmacro1</definedName>
    <definedName function="false" hidden="false" localSheetId="9" name="박은하" vbProcedure="false">dlog_show</definedName>
    <definedName function="false" hidden="false" localSheetId="9" name="방송" vbProcedure="false">blankmacro1</definedName>
    <definedName function="false" hidden="false" localSheetId="9" name="보일러" vbProcedure="false">blankmacro1</definedName>
    <definedName function="false" hidden="false" localSheetId="9" name="부대입찰잡비" vbProcedure="false">dlog_show</definedName>
    <definedName function="false" hidden="false" localSheetId="9" name="부토" vbProcedure="false">dlog_show</definedName>
    <definedName function="false" hidden="false" localSheetId="9" name="분전반" vbProcedure="false">blankmacro1</definedName>
    <definedName function="false" hidden="false" localSheetId="9" name="산" vbProcedure="false">blankmacro1</definedName>
    <definedName function="false" hidden="false" localSheetId="9" name="산출근거" vbProcedure="false">blankmacro1</definedName>
    <definedName function="false" hidden="false" localSheetId="9" name="소방내역" vbProcedure="false">blankmacro1</definedName>
    <definedName function="false" hidden="false" localSheetId="9" name="소방내역서" vbProcedure="false">blankmacro1</definedName>
    <definedName function="false" hidden="false" localSheetId="9" name="수량산출" vbProcedure="false">blankmacro1</definedName>
    <definedName function="false" hidden="false" localSheetId="9" name="수량산출2" vbProcedure="false">blankmacro1</definedName>
    <definedName function="false" hidden="false" localSheetId="9" name="수량산출5" vbProcedure="false">blankmacro1</definedName>
    <definedName function="false" hidden="false" localSheetId="9" name="수량산출서표지" vbProcedure="false">blankmacro1</definedName>
    <definedName function="false" hidden="false" localSheetId="9" name="아늘믿" vbProcedure="false">blankmacro1</definedName>
    <definedName function="false" hidden="false" localSheetId="9" name="아니" vbProcedure="false">blankmacro1</definedName>
    <definedName function="false" hidden="false" localSheetId="9" name="아다" vbProcedure="false">blankmacro1</definedName>
    <definedName function="false" hidden="false" localSheetId="9" name="아디" vbProcedure="false">blankmacro1</definedName>
    <definedName function="false" hidden="false" localSheetId="9" name="아서" vbProcedure="false">blankmacro1</definedName>
    <definedName function="false" hidden="false" localSheetId="9" name="아이시밮" vbProcedure="false">dlog_show</definedName>
    <definedName function="false" hidden="false" localSheetId="9" name="안이사님" vbProcedure="false">blankmacro1</definedName>
    <definedName function="false" hidden="false" localSheetId="9" name="어멈" vbProcedure="false">blankmacro1</definedName>
    <definedName function="false" hidden="false" localSheetId="9" name="어쩌라구" vbProcedure="false">blankmacro1</definedName>
    <definedName function="false" hidden="false" localSheetId="9" name="엊" vbProcedure="false">blankmacro1</definedName>
    <definedName function="false" hidden="false" localSheetId="9" name="우출" vbProcedure="false">blankmacro1</definedName>
    <definedName function="false" hidden="false" localSheetId="9" name="인상익" vbProcedure="false">blankmacro1</definedName>
    <definedName function="false" hidden="false" localSheetId="9" name="자" vbProcedure="false">blankmacro1</definedName>
    <definedName function="false" hidden="false" localSheetId="9" name="자동제어1차공량산출" vbProcedure="false">blankmacro1</definedName>
    <definedName function="false" hidden="false" localSheetId="9" name="자장" vbProcedure="false">blankmacro1</definedName>
    <definedName function="false" hidden="false" localSheetId="9" name="자재집계5" vbProcedure="false">blankmacro1</definedName>
    <definedName function="false" hidden="false" localSheetId="9" name="장" vbProcedure="false">blankmacro1</definedName>
    <definedName function="false" hidden="false" localSheetId="9" name="정" vbProcedure="false">blankmacro1</definedName>
    <definedName function="false" hidden="false" localSheetId="9" name="차" vbProcedure="false">blankmacro1</definedName>
    <definedName function="false" hidden="false" localSheetId="9" name="취소" vbProcedure="false">blankmacro1</definedName>
    <definedName function="false" hidden="false" localSheetId="9" name="템플리트모듈1" vbProcedure="false">blankmacro1</definedName>
    <definedName function="false" hidden="false" localSheetId="9" name="템플리트모듈2" vbProcedure="false">blankmacro1</definedName>
    <definedName function="false" hidden="false" localSheetId="9" name="템플리트모듈3" vbProcedure="false">blankmacro1</definedName>
    <definedName function="false" hidden="false" localSheetId="9" name="템플리트모듈4" vbProcedure="false">blankmacro1</definedName>
    <definedName function="false" hidden="false" localSheetId="9" name="템플리트모듈5" vbProcedure="false">blankmacro1</definedName>
    <definedName function="false" hidden="false" localSheetId="9" name="템플리트모듈6" vbProcedure="false">blankmacro1</definedName>
    <definedName function="false" hidden="false" localSheetId="9" name="통신집계" vbProcedure="false">blankmacro1</definedName>
    <definedName function="false" hidden="false" localSheetId="9" name="포장공" vbProcedure="false">blankmacro1</definedName>
    <definedName function="false" hidden="false" localSheetId="9" name="포장공1" vbProcedure="false">blankmacro1</definedName>
    <definedName function="false" hidden="false" localSheetId="9" name="품위내역서" vbProcedure="false">blankmacro1</definedName>
    <definedName function="false" hidden="false" localSheetId="9" name="효구" vbProcedure="false">dlog_show</definedName>
    <definedName function="false" hidden="false" localSheetId="9" name="효자" vbProcedure="false">dlog_show</definedName>
    <definedName function="false" hidden="false" localSheetId="9" name="효자건설" vbProcedure="false">dlog_show</definedName>
    <definedName function="false" hidden="false" localSheetId="11" name="예스폼" vbProcedure="false">#REF!</definedName>
    <definedName function="false" hidden="false" localSheetId="12" name="aaaaaa" vbProcedure="false">blankmacro1</definedName>
    <definedName function="false" hidden="false" localSheetId="12" name="aaaaaaa" vbProcedure="false">blankmacro1</definedName>
    <definedName function="false" hidden="false" localSheetId="12" name="aaaaaaaa" vbProcedure="false">blankmacro1</definedName>
    <definedName function="false" hidden="false" localSheetId="12" name="aaaaaaaaaaa" vbProcedure="false">blankmacro1</definedName>
    <definedName function="false" hidden="false" localSheetId="12" name="aaaaaaaaaaaaaaa" vbProcedure="false">blankmacro1</definedName>
    <definedName function="false" hidden="false" localSheetId="12" name="aaaaaaaaaaaaaaaaaaaaaa" vbProcedure="false">blankmacro1</definedName>
    <definedName function="false" hidden="false" localSheetId="12" name="DDDDA" vbProcedure="false">blankmacro1</definedName>
    <definedName function="false" hidden="false" localSheetId="12" name="DDS" vbProcedure="false">blankmacro1</definedName>
    <definedName function="false" hidden="false" localSheetId="12" name="DDW" vbProcedure="false">blankmacro1</definedName>
    <definedName function="false" hidden="false" localSheetId="12" name="DKD" vbProcedure="false">blankmacro1</definedName>
    <definedName function="false" hidden="false" localSheetId="12" name="DKE" vbProcedure="false">blankmacro1</definedName>
    <definedName function="false" hidden="false" localSheetId="12" name="dlsrks" vbProcedure="false">blankmacro1</definedName>
    <definedName function="false" hidden="false" localSheetId="12" name="DS" vbProcedure="false">blankmacro1</definedName>
    <definedName function="false" hidden="false" localSheetId="12" name="DWS" vbProcedure="false">blankmacro1</definedName>
    <definedName function="false" hidden="false" localSheetId="12" name="eeeeeeeee" vbProcedure="false">blankmacro1</definedName>
    <definedName function="false" hidden="false" localSheetId="12" name="EXE" vbProcedure="false">blankmacro1</definedName>
    <definedName function="false" hidden="false" localSheetId="12" name="MMM" vbProcedure="false">blankmacro1</definedName>
    <definedName function="false" hidden="false" localSheetId="12" name="Q" vbProcedure="false">blankmacro1</definedName>
    <definedName function="false" hidden="false" localSheetId="12" name="qqqq" vbProcedure="false">dlog_show</definedName>
    <definedName function="false" hidden="false" localSheetId="12" name="rkatnwl" vbProcedure="false">blankmacro1</definedName>
    <definedName function="false" hidden="false" localSheetId="12" name="www" vbProcedure="false">blankmacro1</definedName>
    <definedName function="false" hidden="false" localSheetId="12" name="wwwww" vbProcedure="false">blankmacro1</definedName>
    <definedName function="false" hidden="false" localSheetId="12" name="wwwwww" vbProcedure="false">blankmacro1</definedName>
    <definedName function="false" hidden="false" localSheetId="12" name="wwwwwwww" vbProcedure="false">blankmacro1</definedName>
    <definedName function="false" hidden="false" localSheetId="12" name="wwwwwwwwww" vbProcedure="false">blankmacro1</definedName>
    <definedName function="false" hidden="false" localSheetId="12" name="wwwwwwwwwwwwww" vbProcedure="false">blankmacro1</definedName>
    <definedName function="false" hidden="false" localSheetId="12" name="wwwwwwwwwwwwwwwww" vbProcedure="false">blankmacro1</definedName>
    <definedName function="false" hidden="false" localSheetId="12" name="ㄴㅇ" vbProcedure="false">dlog_show</definedName>
    <definedName function="false" hidden="false" localSheetId="12" name="ㄵㄷ" vbProcedure="false">dlog_show</definedName>
    <definedName function="false" hidden="false" localSheetId="12" name="ㄹㅇㄴㄹㅇㄹㄴㄹㅇㄹㅇㄹㅇㄴ" vbProcedure="false">blankmacro1</definedName>
    <definedName function="false" hidden="false" localSheetId="12" name="ㅂㅂㅂㅂㅂ" vbProcedure="false">blankmacro1</definedName>
    <definedName function="false" hidden="false" localSheetId="12" name="ㅇㄴㅁㅇㄴ" vbProcedure="false">blankmacro1</definedName>
    <definedName function="false" hidden="false" localSheetId="12" name="ㅇㄴㅇㄴㅇ" vbProcedure="false">blankmacro1</definedName>
    <definedName function="false" hidden="false" localSheetId="12" name="갑지" vbProcedure="false">blankmacro1</definedName>
    <definedName function="false" hidden="false" localSheetId="12" name="강수지" vbProcedure="false">blankmacro1</definedName>
    <definedName function="false" hidden="false" localSheetId="12" name="거래" vbProcedure="false">blankmacro1</definedName>
    <definedName function="false" hidden="false" localSheetId="12" name="건축내역" vbProcedure="false">blankmacro1</definedName>
    <definedName function="false" hidden="false" localSheetId="12" name="견적1" vbProcedure="false">dlog_show</definedName>
    <definedName function="false" hidden="false" localSheetId="12" name="경순" vbProcedure="false">blankmacro1</definedName>
    <definedName function="false" hidden="false" localSheetId="12" name="공" vbProcedure="false">blankmacro1</definedName>
    <definedName function="false" hidden="false" localSheetId="12" name="구분" vbProcedure="false">blankmacro1</definedName>
    <definedName function="false" hidden="false" localSheetId="12" name="구분1" vbProcedure="false">blankmacro1</definedName>
    <definedName function="false" hidden="false" localSheetId="12" name="기계3" vbProcedure="false">blankmacro1</definedName>
    <definedName function="false" hidden="false" localSheetId="12" name="기계4" vbProcedure="false">blankmacro1</definedName>
    <definedName function="false" hidden="false" localSheetId="12" name="김" vbProcedure="false">blankmacro1</definedName>
    <definedName function="false" hidden="false" localSheetId="12" name="김진성1" vbProcedure="false">blankmacro1</definedName>
    <definedName function="false" hidden="false" localSheetId="12" name="남덕" vbProcedure="false">blankmacro1</definedName>
    <definedName function="false" hidden="false" localSheetId="12" name="남덕1" vbProcedure="false">blankmacro1</definedName>
    <definedName function="false" hidden="false" localSheetId="12" name="내용" vbProcedure="false">blankmacro1</definedName>
    <definedName function="false" hidden="false" localSheetId="12" name="노임1" vbProcedure="false">blankmacro1</definedName>
    <definedName function="false" hidden="false" localSheetId="12" name="노임2" vbProcedure="false">blankmacro1</definedName>
    <definedName function="false" hidden="false" localSheetId="12" name="라라" vbProcedure="false">blankmacro1</definedName>
    <definedName function="false" hidden="false" localSheetId="12" name="말" vbProcedure="false">blankmacro1</definedName>
    <definedName function="false" hidden="false" localSheetId="12" name="머야ㅕ" vbProcedure="false">blankmacro1</definedName>
    <definedName function="false" hidden="false" localSheetId="12" name="박은하" vbProcedure="false">dlog_show</definedName>
    <definedName function="false" hidden="false" localSheetId="12" name="방송" vbProcedure="false">blankmacro1</definedName>
    <definedName function="false" hidden="false" localSheetId="12" name="보일러" vbProcedure="false">blankmacro1</definedName>
    <definedName function="false" hidden="false" localSheetId="12" name="부대입찰잡비" vbProcedure="false">dlog_show</definedName>
    <definedName function="false" hidden="false" localSheetId="12" name="부토" vbProcedure="false">dlog_show</definedName>
    <definedName function="false" hidden="false" localSheetId="12" name="분전반" vbProcedure="false">blankmacro1</definedName>
    <definedName function="false" hidden="false" localSheetId="12" name="산" vbProcedure="false">blankmacro1</definedName>
    <definedName function="false" hidden="false" localSheetId="12" name="산출근거" vbProcedure="false">blankmacro1</definedName>
    <definedName function="false" hidden="false" localSheetId="12" name="소방내역" vbProcedure="false">blankmacro1</definedName>
    <definedName function="false" hidden="false" localSheetId="12" name="소방내역서" vbProcedure="false">blankmacro1</definedName>
    <definedName function="false" hidden="false" localSheetId="12" name="수량산출" vbProcedure="false">blankmacro1</definedName>
    <definedName function="false" hidden="false" localSheetId="12" name="수량산출2" vbProcedure="false">blankmacro1</definedName>
    <definedName function="false" hidden="false" localSheetId="12" name="수량산출5" vbProcedure="false">blankmacro1</definedName>
    <definedName function="false" hidden="false" localSheetId="12" name="수량산출서표지" vbProcedure="false">blankmacro1</definedName>
    <definedName function="false" hidden="false" localSheetId="12" name="아늘믿" vbProcedure="false">blankmacro1</definedName>
    <definedName function="false" hidden="false" localSheetId="12" name="아니" vbProcedure="false">blankmacro1</definedName>
    <definedName function="false" hidden="false" localSheetId="12" name="아다" vbProcedure="false">blankmacro1</definedName>
    <definedName function="false" hidden="false" localSheetId="12" name="아디" vbProcedure="false">blankmacro1</definedName>
    <definedName function="false" hidden="false" localSheetId="12" name="아서" vbProcedure="false">blankmacro1</definedName>
    <definedName function="false" hidden="false" localSheetId="12" name="아이시밮" vbProcedure="false">dlog_show</definedName>
    <definedName function="false" hidden="false" localSheetId="12" name="안이사님" vbProcedure="false">blankmacro1</definedName>
    <definedName function="false" hidden="false" localSheetId="12" name="어멈" vbProcedure="false">blankmacro1</definedName>
    <definedName function="false" hidden="false" localSheetId="12" name="어쩌라구" vbProcedure="false">blankmacro1</definedName>
    <definedName function="false" hidden="false" localSheetId="12" name="엊" vbProcedure="false">blankmacro1</definedName>
    <definedName function="false" hidden="false" localSheetId="12" name="우출" vbProcedure="false">blankmacro1</definedName>
    <definedName function="false" hidden="false" localSheetId="12" name="인상익" vbProcedure="false">blankmacro1</definedName>
    <definedName function="false" hidden="false" localSheetId="12" name="자" vbProcedure="false">blankmacro1</definedName>
    <definedName function="false" hidden="false" localSheetId="12" name="자동제어1차공량산출" vbProcedure="false">blankmacro1</definedName>
    <definedName function="false" hidden="false" localSheetId="12" name="자장" vbProcedure="false">blankmacro1</definedName>
    <definedName function="false" hidden="false" localSheetId="12" name="자재집계5" vbProcedure="false">blankmacro1</definedName>
    <definedName function="false" hidden="false" localSheetId="12" name="장" vbProcedure="false">blankmacro1</definedName>
    <definedName function="false" hidden="false" localSheetId="12" name="정" vbProcedure="false">blankmacro1</definedName>
    <definedName function="false" hidden="false" localSheetId="12" name="차" vbProcedure="false">blankmacro1</definedName>
    <definedName function="false" hidden="false" localSheetId="12" name="취소" vbProcedure="false">blankmacro1</definedName>
    <definedName function="false" hidden="false" localSheetId="12" name="템플리트모듈1" vbProcedure="false">blankmacro1</definedName>
    <definedName function="false" hidden="false" localSheetId="12" name="템플리트모듈2" vbProcedure="false">blankmacro1</definedName>
    <definedName function="false" hidden="false" localSheetId="12" name="템플리트모듈3" vbProcedure="false">blankmacro1</definedName>
    <definedName function="false" hidden="false" localSheetId="12" name="템플리트모듈4" vbProcedure="false">blankmacro1</definedName>
    <definedName function="false" hidden="false" localSheetId="12" name="템플리트모듈5" vbProcedure="false">blankmacro1</definedName>
    <definedName function="false" hidden="false" localSheetId="12" name="템플리트모듈6" vbProcedure="false">blankmacro1</definedName>
    <definedName function="false" hidden="false" localSheetId="12" name="통신집계" vbProcedure="false">blankmacro1</definedName>
    <definedName function="false" hidden="false" localSheetId="12" name="포장공" vbProcedure="false">blankmacro1</definedName>
    <definedName function="false" hidden="false" localSheetId="12" name="포장공1" vbProcedure="false">blankmacro1</definedName>
    <definedName function="false" hidden="false" localSheetId="12" name="품위내역서" vbProcedure="false">blankmacro1</definedName>
    <definedName function="false" hidden="false" localSheetId="12" name="효구" vbProcedure="false">dlog_show</definedName>
    <definedName function="false" hidden="false" localSheetId="12" name="효자" vbProcedure="false">dlog_show</definedName>
    <definedName function="false" hidden="false" localSheetId="12" name="효자건설" vbProcedure="false">dlog_show</definedName>
    <definedName function="false" hidden="false" localSheetId="14" name="예스폼" vbProcedure="false">#REF!</definedName>
    <definedName function="false" hidden="false" localSheetId="16" name="A" vbProcedure="false">#REF!</definedName>
    <definedName function="false" hidden="false" localSheetId="16" name="aa" vbProcedure="false">#REF!</definedName>
    <definedName function="false" hidden="false" localSheetId="16" name="Activity" vbProcedure="false">#REF!</definedName>
    <definedName function="false" hidden="false" localSheetId="16" name="acti_day" vbProcedure="false">#REF!</definedName>
    <definedName function="false" hidden="false" localSheetId="16" name="acti_month" vbProcedure="false">#REF!</definedName>
    <definedName function="false" hidden="false" localSheetId="16" name="acti_monthday" vbProcedure="false">#REF!</definedName>
    <definedName function="false" hidden="false" localSheetId="16" name="acti_year" vbProcedure="false">#REF!</definedName>
    <definedName function="false" hidden="false" localSheetId="16" name="ActR" vbProcedure="false">#REF!</definedName>
    <definedName function="false" hidden="false" localSheetId="16" name="ActR_h" vbProcedure="false">#REF!</definedName>
    <definedName function="false" hidden="true" localSheetId="16" name="ACX" vbProcedure="false">#REF!</definedName>
    <definedName function="false" hidden="true" localSheetId="16" name="alslsdkjfjs" vbProcedure="false">#REF!</definedName>
    <definedName function="false" hidden="false" localSheetId="16" name="Amount_h" vbProcedure="false">#REF!</definedName>
    <definedName function="false" hidden="false" localSheetId="16" name="anal_ij" vbProcedure="false">#REF!</definedName>
    <definedName function="false" hidden="false" localSheetId="16" name="Aㅁ2423" vbProcedure="false">#REF!</definedName>
    <definedName function="false" hidden="false" localSheetId="16" name="B" vbProcedure="false">#REF!</definedName>
    <definedName function="false" hidden="true" localSheetId="16" name="BM" vbProcedure="false">#REF!</definedName>
    <definedName function="false" hidden="false" localSheetId="16" name="cal_f_day" vbProcedure="false">#REF!</definedName>
    <definedName function="false" hidden="false" localSheetId="16" name="CCC" vbProcedure="false">#REF!</definedName>
    <definedName function="false" hidden="false" localSheetId="16" name="cordaddr" vbProcedure="false">#REF!</definedName>
    <definedName function="false" hidden="false" localSheetId="16" name="cordaddr1" vbProcedure="false">#REF!</definedName>
    <definedName function="false" hidden="false" localSheetId="16" name="CP" vbProcedure="false">#REF!</definedName>
    <definedName function="false" hidden="false" localSheetId="16" name="cpi" vbProcedure="false">#REF!</definedName>
    <definedName function="false" hidden="false" localSheetId="16" name="cpmprojaddr" vbProcedure="false">#REF!</definedName>
    <definedName function="false" hidden="false" localSheetId="16" name="cpmprojapprover" vbProcedure="false">#REF!</definedName>
    <definedName function="false" hidden="false" localSheetId="16" name="cpmprojcompoday" vbProcedure="false">#REF!</definedName>
    <definedName function="false" hidden="false" localSheetId="16" name="cpmprojcomposer" vbProcedure="false">#REF!</definedName>
    <definedName function="false" hidden="false" localSheetId="16" name="cpmprojduration" vbProcedure="false">#REF!</definedName>
    <definedName function="false" hidden="false" localSheetId="16" name="cpmprojname" vbProcedure="false">#REF!</definedName>
    <definedName function="false" hidden="false" localSheetId="16" name="cp_fnc" vbProcedure="false">#REF!</definedName>
    <definedName function="false" hidden="false" localSheetId="16" name="cp_i_blk" vbProcedure="false">#REF!</definedName>
    <definedName function="false" hidden="false" localSheetId="16" name="CR" vbProcedure="false">#REF!</definedName>
    <definedName function="false" hidden="false" localSheetId="16" name="CRa" vbProcedure="false">#REF!</definedName>
    <definedName function="false" hidden="false" localSheetId="16" name="CRb" vbProcedure="false">#REF!</definedName>
    <definedName function="false" hidden="false" localSheetId="16" name="cri_01" vbProcedure="false">#REF!</definedName>
    <definedName function="false" hidden="false" localSheetId="16" name="cri_02" vbProcedure="false">#REF!</definedName>
    <definedName function="false" hidden="false" localSheetId="16" name="cri_03" vbProcedure="false">#REF!</definedName>
    <definedName function="false" hidden="false" localSheetId="16" name="cri_CP_is_CA" vbProcedure="false">#REF!</definedName>
    <definedName function="false" hidden="false" localSheetId="16" name="cri_gjtitle" vbProcedure="false">#REF!</definedName>
    <definedName function="false" hidden="false" localSheetId="16" name="cri_ij_co" vbProcedure="false">#REF!</definedName>
    <definedName function="false" hidden="false" localSheetId="16" name="cri_now_iv" vbProcedure="false">#REF!</definedName>
    <definedName function="false" hidden="false" localSheetId="16" name="cri_out" vbProcedure="false">#REF!</definedName>
    <definedName function="false" hidden="false" localSheetId="16" name="cri_pnt" vbProcedure="false">#REF!</definedName>
    <definedName function="false" hidden="false" localSheetId="16" name="cri_top" vbProcedure="false">#REF!</definedName>
    <definedName function="false" hidden="false" localSheetId="16" name="crtrcd" vbProcedure="false">#REF!</definedName>
    <definedName function="false" hidden="false" localSheetId="16" name="DANGA" vbProcedure="false">#REF!,#REF!</definedName>
    <definedName function="false" hidden="false" localSheetId="16" name="data" vbProcedure="false">#REF!</definedName>
    <definedName function="false" hidden="true" localSheetId="16" name="dataww" vbProcedure="false">#REF!</definedName>
    <definedName function="false" hidden="false" localSheetId="16" name="data_block" vbProcedure="false">#REF!</definedName>
    <definedName function="false" hidden="false" localSheetId="16" name="data_block2" vbProcedure="false">#REF!</definedName>
    <definedName function="false" hidden="false" localSheetId="16" name="date_errchk" vbProcedure="false">#REF!</definedName>
    <definedName function="false" hidden="false" localSheetId="16" name="date_errval" vbProcedure="false">#REF!</definedName>
    <definedName function="false" hidden="true" localSheetId="16" name="DFASDF" vbProcedure="false">#REF!</definedName>
    <definedName function="false" hidden="false" localSheetId="16" name="Dij" vbProcedure="false">#REF!</definedName>
    <definedName function="false" hidden="false" localSheetId="16" name="DMsum" vbProcedure="false">#REF!</definedName>
    <definedName function="false" hidden="false" localSheetId="16" name="DRsum" vbProcedure="false">#REF!</definedName>
    <definedName function="false" hidden="false" localSheetId="16" name="d_errchk" vbProcedure="false">#REF!</definedName>
    <definedName function="false" hidden="false" localSheetId="16" name="D열" vbProcedure="false">#REF!</definedName>
    <definedName function="false" hidden="false" localSheetId="16" name="edit__home__del__branch_\f" vbProcedure="false">#REF!</definedName>
    <definedName function="false" hidden="false" localSheetId="16" name="EF" vbProcedure="false">#REF!</definedName>
    <definedName function="false" hidden="false" localSheetId="16" name="Efd" vbProcedure="false">#REF!</definedName>
    <definedName function="false" hidden="false" localSheetId="16" name="Efd_h" vbProcedure="false">#REF!</definedName>
    <definedName function="false" hidden="false" localSheetId="16" name="ef_val" vbProcedure="false">#REF!</definedName>
    <definedName function="false" hidden="true" localSheetId="16" name="EK" vbProcedure="false">#REF!</definedName>
    <definedName function="false" hidden="false" localSheetId="16" name="end_day" vbProcedure="false">#REF!</definedName>
    <definedName function="false" hidden="false" localSheetId="16" name="end_month" vbProcedure="false">#REF!</definedName>
    <definedName function="false" hidden="false" localSheetId="16" name="end_year" vbProcedure="false">#REF!</definedName>
    <definedName function="false" hidden="false" localSheetId="16" name="ES" vbProcedure="false">#REF!</definedName>
    <definedName function="false" hidden="false" localSheetId="16" name="Esd" vbProcedure="false">#REF!</definedName>
    <definedName function="false" hidden="false" localSheetId="16" name="Esd_h" vbProcedure="false">#REF!</definedName>
    <definedName function="false" hidden="false" localSheetId="16" name="es_block" vbProcedure="false">#REF!</definedName>
    <definedName function="false" hidden="false" localSheetId="16" name="es_val" vbProcedure="false">#REF!</definedName>
    <definedName function="false" hidden="false" localSheetId="16" name="etcrcd" vbProcedure="false">#REF!</definedName>
    <definedName function="false" hidden="false" localSheetId="16" name="FEEL" vbProcedure="false">#REF!</definedName>
    <definedName function="false" hidden="false" localSheetId="16" name="FF" vbProcedure="false">#REF!</definedName>
    <definedName function="false" hidden="false" localSheetId="16" name="ff_block" vbProcedure="false">#REF!</definedName>
    <definedName function="false" hidden="false" localSheetId="16" name="FF_h" vbProcedure="false">#REF!</definedName>
    <definedName function="false" hidden="false" localSheetId="16" name="ff_val" vbProcedure="false">#REF!</definedName>
    <definedName function="false" hidden="true" localSheetId="16" name="fkf" vbProcedure="false">#REF!</definedName>
    <definedName function="false" hidden="true" localSheetId="16" name="GEMCO" vbProcedure="false">#REF!</definedName>
    <definedName function="false" hidden="false" localSheetId="16" name="get_gjcode" vbProcedure="false">#REF!</definedName>
    <definedName function="false" hidden="false" localSheetId="16" name="gjamount_top" vbProcedure="false">#REF!</definedName>
    <definedName function="false" hidden="false" localSheetId="16" name="gjcnt_top" vbProcedure="false">#REF!</definedName>
    <definedName function="false" hidden="false" localSheetId="16" name="GJcord" vbProcedure="false">#REF!</definedName>
    <definedName function="false" hidden="false" localSheetId="16" name="gjcord_stp" vbProcedure="false">#REF!</definedName>
    <definedName function="false" hidden="false" localSheetId="16" name="gjcord_top1" vbProcedure="false">#REF!</definedName>
    <definedName function="false" hidden="false" localSheetId="16" name="gjcord_top10" vbProcedure="false">#REF!</definedName>
    <definedName function="false" hidden="false" localSheetId="16" name="gjcord_top11" vbProcedure="false">#REF!</definedName>
    <definedName function="false" hidden="false" localSheetId="16" name="gjcord_top12" vbProcedure="false">#REF!</definedName>
    <definedName function="false" hidden="false" localSheetId="16" name="gjcord_top13" vbProcedure="false">#REF!</definedName>
    <definedName function="false" hidden="false" localSheetId="16" name="gjcord_top14" vbProcedure="false">#REF!</definedName>
    <definedName function="false" hidden="false" localSheetId="16" name="gjcord_top15" vbProcedure="false">#REF!</definedName>
    <definedName function="false" hidden="false" localSheetId="16" name="gjcord_top16" vbProcedure="false">#REF!</definedName>
    <definedName function="false" hidden="false" localSheetId="16" name="gjcord_top17" vbProcedure="false">#REF!</definedName>
    <definedName function="false" hidden="false" localSheetId="16" name="gjcord_top18" vbProcedure="false">#REF!</definedName>
    <definedName function="false" hidden="false" localSheetId="16" name="gjcord_top19" vbProcedure="false">#REF!</definedName>
    <definedName function="false" hidden="false" localSheetId="16" name="gjcord_top2" vbProcedure="false">#REF!</definedName>
    <definedName function="false" hidden="false" localSheetId="16" name="gjcord_top3" vbProcedure="false">#REF!</definedName>
    <definedName function="false" hidden="false" localSheetId="16" name="gjcord_top4" vbProcedure="false">#REF!</definedName>
    <definedName function="false" hidden="false" localSheetId="16" name="gjcord_top5" vbProcedure="false">#REF!</definedName>
    <definedName function="false" hidden="false" localSheetId="16" name="gjcord_top6" vbProcedure="false">#REF!</definedName>
    <definedName function="false" hidden="false" localSheetId="16" name="gjcord_top7" vbProcedure="false">#REF!</definedName>
    <definedName function="false" hidden="false" localSheetId="16" name="gjcord_top8" vbProcedure="false">#REF!</definedName>
    <definedName function="false" hidden="false" localSheetId="16" name="gjcord_top9" vbProcedure="false">#REF!</definedName>
    <definedName function="false" hidden="false" localSheetId="16" name="gjnamedata" vbProcedure="false">#REF!</definedName>
    <definedName function="false" hidden="false" localSheetId="16" name="gjnamedata1" vbProcedure="false">#REF!</definedName>
    <definedName function="false" hidden="false" localSheetId="16" name="gjnamedata2" vbProcedure="false">#REF!</definedName>
    <definedName function="false" hidden="false" localSheetId="16" name="gjrate" vbProcedure="false">#REF!</definedName>
    <definedName function="false" hidden="false" localSheetId="16" name="GONGJONG" vbProcedure="false">#REF!</definedName>
    <definedName function="false" hidden="true" localSheetId="16" name="grew" vbProcedure="false">#REF!</definedName>
    <definedName function="false" hidden="true" localSheetId="16" name="GUSTLS" vbProcedure="false">#REF!</definedName>
    <definedName function="false" hidden="false" localSheetId="16" name="G열" vbProcedure="false">#REF!</definedName>
    <definedName function="false" hidden="true" localSheetId="16" name="han" vbProcedure="false">#REF!</definedName>
    <definedName function="false" hidden="true" localSheetId="16" name="hardwar" vbProcedure="false">#REF!</definedName>
    <definedName function="false" hidden="false" localSheetId="16" name="HP" vbProcedure="false">#REF!</definedName>
    <definedName function="false" hidden="false" localSheetId="16" name="i" vbProcedure="false">#REF!</definedName>
    <definedName function="false" hidden="false" localSheetId="16" name="ID" vbProcedure="false">#REF!,#REF!</definedName>
    <definedName function="false" hidden="false" localSheetId="16" name="ii_val" vbProcedure="false">#REF!</definedName>
    <definedName function="false" hidden="false" localSheetId="16" name="ij_cod_blk" vbProcedure="false">#REF!</definedName>
    <definedName function="false" hidden="false" localSheetId="16" name="isactirate" vbProcedure="false">#REF!</definedName>
    <definedName function="false" hidden="false" localSheetId="16" name="iv_check" vbProcedure="false">#REF!</definedName>
    <definedName function="false" hidden="false" localSheetId="16" name="iv_check2" vbProcedure="false">#REF!</definedName>
    <definedName function="false" hidden="false" localSheetId="16" name="ix_v" vbProcedure="false">#REF!</definedName>
    <definedName function="false" hidden="false" localSheetId="16" name="iy_v" vbProcedure="false">#REF!</definedName>
    <definedName function="false" hidden="false" localSheetId="16" name="i_start" vbProcedure="false">#REF!</definedName>
    <definedName function="false" hidden="false" localSheetId="16" name="i_val" vbProcedure="false">#REF!</definedName>
    <definedName function="false" hidden="false" localSheetId="16" name="j" vbProcedure="false">#REF!</definedName>
    <definedName function="false" hidden="false" localSheetId="16" name="j_val" vbProcedure="false">#REF!</definedName>
    <definedName function="false" hidden="false" localSheetId="16" name="KK" vbProcedure="false">#REF!</definedName>
    <definedName function="false" hidden="true" localSheetId="16" name="ktf" vbProcedure="false">#REF!</definedName>
    <definedName function="false" hidden="true" localSheetId="16" name="kty" vbProcedure="false">#REF!</definedName>
    <definedName function="false" hidden="false" localSheetId="16" name="labordata" vbProcedure="false">#REF!</definedName>
    <definedName function="false" hidden="false" localSheetId="16" name="Lbox1" vbProcedure="false">#REF!</definedName>
    <definedName function="false" hidden="false" localSheetId="16" name="LF" vbProcedure="false">#REF!</definedName>
    <definedName function="false" hidden="false" localSheetId="16" name="Lfd" vbProcedure="false">#REF!</definedName>
    <definedName function="false" hidden="false" localSheetId="16" name="lf_block" vbProcedure="false">#REF!</definedName>
    <definedName function="false" hidden="false" localSheetId="16" name="lf_val" vbProcedure="false">#REF!</definedName>
    <definedName function="false" hidden="false" localSheetId="16" name="LL" vbProcedure="false">#REF!</definedName>
    <definedName function="false" hidden="false" localSheetId="16" name="LS" vbProcedure="false">#REF!</definedName>
    <definedName function="false" hidden="false" localSheetId="16" name="Lsd" vbProcedure="false">#REF!</definedName>
    <definedName function="false" hidden="true" localSheetId="16" name="m" vbProcedure="false">#REF!</definedName>
    <definedName function="false" hidden="false" localSheetId="16" name="Main" vbProcedure="false">#REF!</definedName>
    <definedName function="false" hidden="false" localSheetId="16" name="MAINPART" vbProcedure="false">#REF!</definedName>
    <definedName function="false" hidden="false" localSheetId="16" name="maintitle_top" vbProcedure="false">#REF!</definedName>
    <definedName function="false" hidden="false" localSheetId="16" name="mf" vbProcedure="false">#REF!</definedName>
    <definedName function="false" hidden="false" localSheetId="16" name="MONEY" vbProcedure="false">#REF!,#REF!</definedName>
    <definedName function="false" hidden="false" localSheetId="16" name="m_errchk" vbProcedure="false">#REF!</definedName>
    <definedName function="false" hidden="false" localSheetId="16" name="now_ef" vbProcedure="false">#REF!</definedName>
    <definedName function="false" hidden="false" localSheetId="16" name="now_iv" vbProcedure="false">#REF!</definedName>
    <definedName function="false" hidden="false" localSheetId="16" name="n_x" vbProcedure="false">#REF!</definedName>
    <definedName function="false" hidden="false" localSheetId="16" name="n_x1" vbProcedure="false">#REF!</definedName>
    <definedName function="false" hidden="false" localSheetId="16" name="n_y" vbProcedure="false">#REF!</definedName>
    <definedName function="false" hidden="false" localSheetId="16" name="n_y1" vbProcedure="false">#REF!</definedName>
    <definedName function="false" hidden="true" localSheetId="16" name="ODH" vbProcedure="false">#REF!</definedName>
    <definedName function="false" hidden="false" localSheetId="16" name="OO" vbProcedure="false">#REF!</definedName>
    <definedName function="false" hidden="false" localSheetId="16" name="OOO" vbProcedure="false">#REF!</definedName>
    <definedName function="false" hidden="false" localSheetId="16" name="pass_x" vbProcedure="false">#REF!</definedName>
    <definedName function="false" hidden="false" localSheetId="16" name="pass_x2" vbProcedure="false">#REF!</definedName>
    <definedName function="false" hidden="false" localSheetId="16" name="pass_x3" vbProcedure="false">#REF!</definedName>
    <definedName function="false" hidden="false" localSheetId="16" name="pass_x4" vbProcedure="false">#REF!</definedName>
    <definedName function="false" hidden="false" localSheetId="16" name="pastcod_blk" vbProcedure="false">#REF!</definedName>
    <definedName function="false" hidden="false" localSheetId="16" name="pastcod_pnt" vbProcedure="false">#REF!</definedName>
    <definedName function="false" hidden="false" localSheetId="16" name="PlanRate" vbProcedure="false">#REF!</definedName>
    <definedName function="false" hidden="false" localSheetId="16" name="PPP" vbProcedure="false">#REF!</definedName>
    <definedName function="false" hidden="false" localSheetId="16" name="Pr" vbProcedure="false">#REF!</definedName>
    <definedName function="false" hidden="false" localSheetId="16" name="PracRate" vbProcedure="false">#REF!</definedName>
    <definedName function="false" hidden="false" localSheetId="16" name="prg" vbProcedure="false">#REF!</definedName>
    <definedName function="false" hidden="false" localSheetId="16" name="PRINT_AREA_MI" vbProcedure="false">#REF!</definedName>
    <definedName function="false" hidden="false" localSheetId="16" name="projactiday" vbProcedure="false">#REF!</definedName>
    <definedName function="false" hidden="false" localSheetId="16" name="projactiday2" vbProcedure="false">#REF!</definedName>
    <definedName function="false" hidden="false" localSheetId="16" name="projactiday3" vbProcedure="false">#REF!</definedName>
    <definedName function="false" hidden="false" localSheetId="16" name="projaddr" vbProcedure="false">#REF!</definedName>
    <definedName function="false" hidden="false" localSheetId="16" name="projapprover" vbProcedure="false">#REF!</definedName>
    <definedName function="false" hidden="false" localSheetId="16" name="projbuf_0" vbProcedure="false">#REF!</definedName>
    <definedName function="false" hidden="false" localSheetId="16" name="projbuf_1" vbProcedure="false">#REF!</definedName>
    <definedName function="false" hidden="false" localSheetId="16" name="projbuf_2" vbProcedure="false">#REF!</definedName>
    <definedName function="false" hidden="false" localSheetId="16" name="projcalday" vbProcedure="false">#REF!</definedName>
    <definedName function="false" hidden="false" localSheetId="16" name="projcompoday" vbProcedure="false">#REF!</definedName>
    <definedName function="false" hidden="false" localSheetId="16" name="projcomposer" vbProcedure="false">#REF!</definedName>
    <definedName function="false" hidden="false" localSheetId="16" name="projduration" vbProcedure="false">#REF!</definedName>
    <definedName function="false" hidden="false" localSheetId="16" name="projendday" vbProcedure="false">#REF!</definedName>
    <definedName function="false" hidden="false" localSheetId="16" name="projname" vbProcedure="false">#REF!</definedName>
    <definedName function="false" hidden="false" localSheetId="16" name="projstday" vbProcedure="false">#REF!</definedName>
    <definedName function="false" hidden="false" localSheetId="16" name="projstday2" vbProcedure="false">#REF!</definedName>
    <definedName function="false" hidden="false" localSheetId="16" name="P_NAE" vbProcedure="false">#REF!</definedName>
    <definedName function="false" hidden="false" localSheetId="16" name="P_NAE2" vbProcedure="false">#REF!</definedName>
    <definedName function="false" hidden="false" localSheetId="16" name="qq" vbProcedure="false">#REF!</definedName>
    <definedName function="false" hidden="false" localSheetId="16" name="QQQ" vbProcedure="false">#REF!</definedName>
    <definedName function="false" hidden="false" localSheetId="16" name="rate_top" vbProcedure="false">#REF!</definedName>
    <definedName function="false" hidden="true" localSheetId="16" name="RFYIFIOYGOPIO" vbProcedure="false">#REF!</definedName>
    <definedName function="false" hidden="false" localSheetId="16" name="RR" vbProcedure="false">#REF!</definedName>
    <definedName function="false" hidden="false" localSheetId="16" name="sche_buf1" vbProcedure="false">#REF!</definedName>
    <definedName function="false" hidden="false" localSheetId="16" name="sche_buf2" vbProcedure="false">#REF!</definedName>
    <definedName function="false" hidden="false" localSheetId="16" name="sche_buf3" vbProcedure="false">#REF!</definedName>
    <definedName function="false" hidden="false" localSheetId="16" name="sche_duration" vbProcedure="false">#REF!</definedName>
    <definedName function="false" hidden="false" localSheetId="16" name="sche_endday" vbProcedure="false">#REF!</definedName>
    <definedName function="false" hidden="false" localSheetId="16" name="sche_projname" vbProcedure="false">#REF!</definedName>
    <definedName function="false" hidden="false" localSheetId="16" name="sche_stday" vbProcedure="false">#REF!</definedName>
    <definedName function="false" hidden="false" localSheetId="16" name="SChonsei" vbProcedure="false">#REF!</definedName>
    <definedName function="false" hidden="false" localSheetId="16" name="scri_out" vbProcedure="false">#REF!</definedName>
    <definedName function="false" hidden="false" localSheetId="16" name="scri_top" vbProcedure="false">#REF!</definedName>
    <definedName function="false" hidden="false" localSheetId="16" name="spi_pnt" vbProcedure="false">#REF!</definedName>
    <definedName function="false" hidden="false" localSheetId="16" name="sp_i_blk" vbProcedure="false">#REF!</definedName>
    <definedName function="false" hidden="false" localSheetId="16" name="ss" vbProcedure="false">#REF!</definedName>
    <definedName function="false" hidden="false" localSheetId="16" name="stp0" vbProcedure="false">#REF!</definedName>
    <definedName function="false" hidden="false" localSheetId="16" name="stp_1" vbProcedure="false">#REF!</definedName>
    <definedName function="false" hidden="false" localSheetId="16" name="stp_10" vbProcedure="false">#REF!</definedName>
    <definedName function="false" hidden="false" localSheetId="16" name="stp_11" vbProcedure="false">#REF!</definedName>
    <definedName function="false" hidden="false" localSheetId="16" name="stp_12" vbProcedure="false">#REF!</definedName>
    <definedName function="false" hidden="false" localSheetId="16" name="stp_13" vbProcedure="false">#REF!</definedName>
    <definedName function="false" hidden="false" localSheetId="16" name="stp_14" vbProcedure="false">#REF!</definedName>
    <definedName function="false" hidden="false" localSheetId="16" name="stp_15" vbProcedure="false">#REF!</definedName>
    <definedName function="false" hidden="false" localSheetId="16" name="stp_16" vbProcedure="false">#REF!</definedName>
    <definedName function="false" hidden="false" localSheetId="16" name="stp_17" vbProcedure="false">#REF!</definedName>
    <definedName function="false" hidden="false" localSheetId="16" name="stp_18" vbProcedure="false">#REF!</definedName>
    <definedName function="false" hidden="false" localSheetId="16" name="stp_19" vbProcedure="false">#REF!</definedName>
    <definedName function="false" hidden="false" localSheetId="16" name="stp_2" vbProcedure="false">#REF!</definedName>
    <definedName function="false" hidden="false" localSheetId="16" name="stp_20" vbProcedure="false">#REF!</definedName>
    <definedName function="false" hidden="false" localSheetId="16" name="stp_21" vbProcedure="false">#REF!</definedName>
    <definedName function="false" hidden="false" localSheetId="16" name="stp_22" vbProcedure="false">#REF!</definedName>
    <definedName function="false" hidden="false" localSheetId="16" name="stp_23" vbProcedure="false">#REF!</definedName>
    <definedName function="false" hidden="false" localSheetId="16" name="stp_24" vbProcedure="false">#REF!</definedName>
    <definedName function="false" hidden="false" localSheetId="16" name="stp_25" vbProcedure="false">#REF!</definedName>
    <definedName function="false" hidden="false" localSheetId="16" name="stp_26" vbProcedure="false">#REF!</definedName>
    <definedName function="false" hidden="false" localSheetId="16" name="stp_27" vbProcedure="false">#REF!</definedName>
    <definedName function="false" hidden="false" localSheetId="16" name="stp_28" vbProcedure="false">#REF!</definedName>
    <definedName function="false" hidden="false" localSheetId="16" name="stp_29" vbProcedure="false">#REF!</definedName>
    <definedName function="false" hidden="false" localSheetId="16" name="stp_3" vbProcedure="false">#REF!</definedName>
    <definedName function="false" hidden="false" localSheetId="16" name="stp_30" vbProcedure="false">#REF!</definedName>
    <definedName function="false" hidden="false" localSheetId="16" name="stp_31" vbProcedure="false">#REF!</definedName>
    <definedName function="false" hidden="false" localSheetId="16" name="stp_32" vbProcedure="false">#REF!</definedName>
    <definedName function="false" hidden="false" localSheetId="16" name="stp_33" vbProcedure="false">#REF!</definedName>
    <definedName function="false" hidden="false" localSheetId="16" name="stp_34" vbProcedure="false">#REF!</definedName>
    <definedName function="false" hidden="false" localSheetId="16" name="stp_35" vbProcedure="false">#REF!</definedName>
    <definedName function="false" hidden="false" localSheetId="16" name="stp_36" vbProcedure="false">#REF!</definedName>
    <definedName function="false" hidden="false" localSheetId="16" name="stp_37" vbProcedure="false">#REF!</definedName>
    <definedName function="false" hidden="false" localSheetId="16" name="stp_38" vbProcedure="false">#REF!</definedName>
    <definedName function="false" hidden="false" localSheetId="16" name="stp_39" vbProcedure="false">#REF!</definedName>
    <definedName function="false" hidden="false" localSheetId="16" name="stp_4" vbProcedure="false">#REF!</definedName>
    <definedName function="false" hidden="false" localSheetId="16" name="stp_40" vbProcedure="false">#REF!</definedName>
    <definedName function="false" hidden="false" localSheetId="16" name="stp_41" vbProcedure="false">#REF!</definedName>
    <definedName function="false" hidden="false" localSheetId="16" name="stp_42" vbProcedure="false">#REF!</definedName>
    <definedName function="false" hidden="false" localSheetId="16" name="stp_43" vbProcedure="false">#REF!</definedName>
    <definedName function="false" hidden="false" localSheetId="16" name="stp_44" vbProcedure="false">#REF!</definedName>
    <definedName function="false" hidden="false" localSheetId="16" name="stp_45" vbProcedure="false">#REF!</definedName>
    <definedName function="false" hidden="false" localSheetId="16" name="stp_46" vbProcedure="false">#REF!</definedName>
    <definedName function="false" hidden="false" localSheetId="16" name="stp_47" vbProcedure="false">#REF!</definedName>
    <definedName function="false" hidden="false" localSheetId="16" name="stp_48" vbProcedure="false">#REF!</definedName>
    <definedName function="false" hidden="false" localSheetId="16" name="stp_49" vbProcedure="false">#REF!</definedName>
    <definedName function="false" hidden="false" localSheetId="16" name="stp_5" vbProcedure="false">#REF!</definedName>
    <definedName function="false" hidden="false" localSheetId="16" name="stp_50" vbProcedure="false">#REF!</definedName>
    <definedName function="false" hidden="false" localSheetId="16" name="stp_51" vbProcedure="false">#REF!</definedName>
    <definedName function="false" hidden="false" localSheetId="16" name="stp_52" vbProcedure="false">#REF!</definedName>
    <definedName function="false" hidden="false" localSheetId="16" name="stp_53" vbProcedure="false">#REF!</definedName>
    <definedName function="false" hidden="false" localSheetId="16" name="stp_54" vbProcedure="false">#REF!</definedName>
    <definedName function="false" hidden="false" localSheetId="16" name="stp_55" vbProcedure="false">#REF!</definedName>
    <definedName function="false" hidden="false" localSheetId="16" name="stp_56" vbProcedure="false">#REF!</definedName>
    <definedName function="false" hidden="false" localSheetId="16" name="stp_57" vbProcedure="false">#REF!</definedName>
    <definedName function="false" hidden="false" localSheetId="16" name="stp_58" vbProcedure="false">#REF!</definedName>
    <definedName function="false" hidden="false" localSheetId="16" name="stp_59" vbProcedure="false">#REF!</definedName>
    <definedName function="false" hidden="false" localSheetId="16" name="stp_6" vbProcedure="false">#REF!</definedName>
    <definedName function="false" hidden="false" localSheetId="16" name="stp_60" vbProcedure="false">#REF!</definedName>
    <definedName function="false" hidden="false" localSheetId="16" name="stp_61" vbProcedure="false">#REF!</definedName>
    <definedName function="false" hidden="false" localSheetId="16" name="stp_62" vbProcedure="false">#REF!</definedName>
    <definedName function="false" hidden="false" localSheetId="16" name="stp_63" vbProcedure="false">#REF!</definedName>
    <definedName function="false" hidden="false" localSheetId="16" name="stp_64" vbProcedure="false">#REF!</definedName>
    <definedName function="false" hidden="false" localSheetId="16" name="stp_65" vbProcedure="false">#REF!</definedName>
    <definedName function="false" hidden="false" localSheetId="16" name="stp_66" vbProcedure="false">#REF!</definedName>
    <definedName function="false" hidden="false" localSheetId="16" name="stp_67" vbProcedure="false">#REF!</definedName>
    <definedName function="false" hidden="false" localSheetId="16" name="stp_68" vbProcedure="false">#REF!</definedName>
    <definedName function="false" hidden="false" localSheetId="16" name="stp_69" vbProcedure="false">#REF!</definedName>
    <definedName function="false" hidden="false" localSheetId="16" name="stp_7" vbProcedure="false">#REF!</definedName>
    <definedName function="false" hidden="false" localSheetId="16" name="stp_70" vbProcedure="false">#REF!</definedName>
    <definedName function="false" hidden="false" localSheetId="16" name="stp_71" vbProcedure="false">#REF!</definedName>
    <definedName function="false" hidden="false" localSheetId="16" name="stp_72" vbProcedure="false">#REF!</definedName>
    <definedName function="false" hidden="false" localSheetId="16" name="stp_73" vbProcedure="false">#REF!</definedName>
    <definedName function="false" hidden="false" localSheetId="16" name="stp_74" vbProcedure="false">#REF!</definedName>
    <definedName function="false" hidden="false" localSheetId="16" name="stp_75" vbProcedure="false">#REF!</definedName>
    <definedName function="false" hidden="false" localSheetId="16" name="stp_76" vbProcedure="false">#REF!</definedName>
    <definedName function="false" hidden="false" localSheetId="16" name="stp_77" vbProcedure="false">#REF!</definedName>
    <definedName function="false" hidden="false" localSheetId="16" name="stp_78" vbProcedure="false">#REF!</definedName>
    <definedName function="false" hidden="false" localSheetId="16" name="stp_79" vbProcedure="false">#REF!</definedName>
    <definedName function="false" hidden="false" localSheetId="16" name="stp_8" vbProcedure="false">#REF!</definedName>
    <definedName function="false" hidden="false" localSheetId="16" name="stp_80" vbProcedure="false">#REF!</definedName>
    <definedName function="false" hidden="false" localSheetId="16" name="stp_81" vbProcedure="false">#REF!</definedName>
    <definedName function="false" hidden="false" localSheetId="16" name="stp_82" vbProcedure="false">#REF!</definedName>
    <definedName function="false" hidden="false" localSheetId="16" name="stp_83" vbProcedure="false">#REF!</definedName>
    <definedName function="false" hidden="false" localSheetId="16" name="stp_84" vbProcedure="false">#REF!</definedName>
    <definedName function="false" hidden="false" localSheetId="16" name="stp_85" vbProcedure="false">#REF!</definedName>
    <definedName function="false" hidden="false" localSheetId="16" name="stp_86" vbProcedure="false">#REF!</definedName>
    <definedName function="false" hidden="false" localSheetId="16" name="stp_87" vbProcedure="false">#REF!</definedName>
    <definedName function="false" hidden="false" localSheetId="16" name="stp_88" vbProcedure="false">#REF!</definedName>
    <definedName function="false" hidden="false" localSheetId="16" name="stp_89" vbProcedure="false">#REF!</definedName>
    <definedName function="false" hidden="false" localSheetId="16" name="stp_9" vbProcedure="false">#REF!</definedName>
    <definedName function="false" hidden="false" localSheetId="16" name="stp_90" vbProcedure="false">#REF!</definedName>
    <definedName function="false" hidden="false" localSheetId="16" name="stp_91" vbProcedure="false">#REF!</definedName>
    <definedName function="false" hidden="false" localSheetId="16" name="stp_92" vbProcedure="false">#REF!</definedName>
    <definedName function="false" hidden="false" localSheetId="16" name="stp_93" vbProcedure="false">#REF!</definedName>
    <definedName function="false" hidden="false" localSheetId="16" name="stp_94" vbProcedure="false">#REF!</definedName>
    <definedName function="false" hidden="false" localSheetId="16" name="stp_95" vbProcedure="false">#REF!</definedName>
    <definedName function="false" hidden="false" localSheetId="16" name="stp_96" vbProcedure="false">#REF!</definedName>
    <definedName function="false" hidden="false" localSheetId="16" name="stp_97" vbProcedure="false">#REF!</definedName>
    <definedName function="false" hidden="false" localSheetId="16" name="stp_98" vbProcedure="false">#REF!</definedName>
    <definedName function="false" hidden="false" localSheetId="16" name="stp_99" vbProcedure="false">#REF!</definedName>
    <definedName function="false" hidden="false" localSheetId="16" name="st_day" vbProcedure="false">#REF!</definedName>
    <definedName function="false" hidden="false" localSheetId="16" name="st_month" vbProcedure="false">#REF!</definedName>
    <definedName function="false" hidden="false" localSheetId="16" name="st_monthday" vbProcedure="false">#REF!</definedName>
    <definedName function="false" hidden="false" localSheetId="16" name="st_year" vbProcedure="false">#REF!</definedName>
    <definedName function="false" hidden="false" localSheetId="16" name="SubDic" vbProcedure="false">#REF!</definedName>
    <definedName function="false" hidden="false" localSheetId="16" name="subs_pnt" vbProcedure="false">#REF!</definedName>
    <definedName function="false" hidden="false" localSheetId="16" name="subs_tn" vbProcedure="false">#REF!</definedName>
    <definedName function="false" hidden="false" localSheetId="16" name="subtitle_top" vbProcedure="false">#REF!</definedName>
    <definedName function="false" hidden="false" localSheetId="16" name="TChonsei" vbProcedure="false">#REF!</definedName>
    <definedName function="false" hidden="false" localSheetId="16" name="TDeposit" vbProcedure="false">#REF!</definedName>
    <definedName function="false" hidden="false" localSheetId="16" name="tempActiAmount" vbProcedure="false">#REF!</definedName>
    <definedName function="false" hidden="false" localSheetId="16" name="tem_val" vbProcedure="false">#REF!</definedName>
    <definedName function="false" hidden="false" localSheetId="16" name="TF" vbProcedure="false">#REF!</definedName>
    <definedName function="false" hidden="false" localSheetId="16" name="TodayUnit" vbProcedure="false">#REF!</definedName>
    <definedName function="false" hidden="true" localSheetId="16" name="todl" vbProcedure="false">#REF!</definedName>
    <definedName function="false" hidden="true" localSheetId="16" name="tofms" vbProcedure="false">#REF!</definedName>
    <definedName function="false" hidden="false" localSheetId="16" name="totrcd" vbProcedure="false">#REF!</definedName>
    <definedName function="false" hidden="true" localSheetId="16" name="tr" vbProcedure="false">#REF!</definedName>
    <definedName function="false" hidden="false" localSheetId="16" name="TRent" vbProcedure="false">#REF!</definedName>
    <definedName function="false" hidden="false" localSheetId="16" name="ttgj_blk" vbProcedure="false">#REF!</definedName>
    <definedName function="false" hidden="false" localSheetId="16" name="ttgj_top" vbProcedure="false">#REF!</definedName>
    <definedName function="false" hidden="false" localSheetId="16" name="TTT" vbProcedure="false">#REF!</definedName>
    <definedName function="false" hidden="false" localSheetId="16" name="unitcol" vbProcedure="false">#REF!</definedName>
    <definedName function="false" hidden="false" localSheetId="16" name="unit_top" vbProcedure="false">#REF!</definedName>
    <definedName function="false" hidden="false" localSheetId="16" name="used_xv" vbProcedure="false">#REF!</definedName>
    <definedName function="false" hidden="false" localSheetId="16" name="userzm" vbProcedure="false">#REF!</definedName>
    <definedName function="false" hidden="false" localSheetId="16" name="userzmcol" vbProcedure="false">#REF!</definedName>
    <definedName function="false" hidden="false" localSheetId="16" name="VVV" vbProcedure="false">#REF!</definedName>
    <definedName function="false" hidden="true" localSheetId="16" name="woogi" vbProcedure="false">#REF!</definedName>
    <definedName function="false" hidden="true" localSheetId="16" name="woogi2" vbProcedure="false">#REF!</definedName>
    <definedName function="false" hidden="false" localSheetId="16" name="WW" vbProcedure="false">#REF!</definedName>
    <definedName function="false" hidden="true" localSheetId="16" name="XCVBGSDFGSER" vbProcedure="false">#REF!</definedName>
    <definedName function="false" hidden="false" localSheetId="16" name="xxx" vbProcedure="false">#REF!</definedName>
    <definedName function="false" hidden="false" localSheetId="16" name="xy_cod_blk" vbProcedure="false">#REF!</definedName>
    <definedName function="false" hidden="false" localSheetId="16" name="YOUNG" vbProcedure="false">#REF!</definedName>
    <definedName function="false" hidden="false" localSheetId="16" name="y_errchk" vbProcedure="false">#REF!</definedName>
    <definedName function="false" hidden="false" localSheetId="16" name="zoomcolumn" vbProcedure="false">#REF!</definedName>
    <definedName function="false" hidden="false" localSheetId="16" name="zoomrate" vbProcedure="false">#REF!</definedName>
    <definedName function="false" hidden="false" localSheetId="16" name="\a" vbProcedure="false">#REF!</definedName>
    <definedName function="false" hidden="false" localSheetId="16" name="\c" vbProcedure="false">#REF!</definedName>
    <definedName function="false" hidden="false" localSheetId="16" name="\l" vbProcedure="false">#REF!</definedName>
    <definedName function="false" hidden="false" localSheetId="16" name="\m" vbProcedure="false">#REF!</definedName>
    <definedName function="false" hidden="false" localSheetId="16" name="\q" vbProcedure="false">#REF!</definedName>
    <definedName function="false" hidden="false" localSheetId="16" name="\x" vbProcedure="false">#REF!</definedName>
    <definedName function="false" hidden="false" localSheetId="16" name="\z" vbProcedure="false">#REF!</definedName>
    <definedName function="false" hidden="false" localSheetId="16" name="_05._위생설비공사" vbProcedure="false">#REF!</definedName>
    <definedName function="false" hidden="true" localSheetId="16" name="_28_0__123Grap" vbProcedure="false">#REF!</definedName>
    <definedName function="false" hidden="true" localSheetId="16" name="_30_0_Dist_" vbProcedure="false">#REF!</definedName>
    <definedName function="false" hidden="true" localSheetId="16" name="_Key11" vbProcedure="false">#REF!</definedName>
    <definedName function="false" hidden="true" localSheetId="16" name="_Key3" vbProcedure="false">#REF!</definedName>
    <definedName function="false" hidden="true" localSheetId="16" name="_kfkf" vbProcedure="false">#REF!</definedName>
    <definedName function="false" hidden="true" localSheetId="16" name="_Parse_In" vbProcedure="false">#REF!</definedName>
    <definedName function="false" hidden="false" localSheetId="16" name="_px1" vbProcedure="false">#REF!</definedName>
    <definedName function="false" hidden="false" localSheetId="16" name="_px2" vbProcedure="false">#REF!</definedName>
    <definedName function="false" hidden="true" localSheetId="16" name="_Regression_Out" vbProcedure="false">#REF!</definedName>
    <definedName function="false" hidden="true" localSheetId="16" name="_Regression_X" vbProcedure="false">#REF!</definedName>
    <definedName function="false" hidden="true" localSheetId="16" name="_Regression_Y" vbProcedure="false">#REF!</definedName>
    <definedName function="false" hidden="false" localSheetId="16" name="_stp1" vbProcedure="false">#REF!</definedName>
    <definedName function="false" hidden="false" localSheetId="16" name="_stp10" vbProcedure="false">#REF!</definedName>
    <definedName function="false" hidden="false" localSheetId="16" name="_stp11" vbProcedure="false">#REF!</definedName>
    <definedName function="false" hidden="false" localSheetId="16" name="_stp12" vbProcedure="false">#REF!</definedName>
    <definedName function="false" hidden="false" localSheetId="16" name="_stp13" vbProcedure="false">#REF!</definedName>
    <definedName function="false" hidden="false" localSheetId="16" name="_stp14" vbProcedure="false">#REF!</definedName>
    <definedName function="false" hidden="false" localSheetId="16" name="_stp15" vbProcedure="false">#REF!</definedName>
    <definedName function="false" hidden="false" localSheetId="16" name="_stp16" vbProcedure="false">#REF!</definedName>
    <definedName function="false" hidden="false" localSheetId="16" name="_stp17" vbProcedure="false">#REF!</definedName>
    <definedName function="false" hidden="false" localSheetId="16" name="_stp18" vbProcedure="false">#REF!</definedName>
    <definedName function="false" hidden="false" localSheetId="16" name="_stp19" vbProcedure="false">#REF!</definedName>
    <definedName function="false" hidden="false" localSheetId="16" name="_stp2" vbProcedure="false">#REF!</definedName>
    <definedName function="false" hidden="false" localSheetId="16" name="_stp20" vbProcedure="false">#REF!</definedName>
    <definedName function="false" hidden="false" localSheetId="16" name="_stp21" vbProcedure="false">#REF!</definedName>
    <definedName function="false" hidden="false" localSheetId="16" name="_stp22" vbProcedure="false">#REF!</definedName>
    <definedName function="false" hidden="false" localSheetId="16" name="_stp23" vbProcedure="false">#REF!</definedName>
    <definedName function="false" hidden="false" localSheetId="16" name="_stp24" vbProcedure="false">#REF!</definedName>
    <definedName function="false" hidden="false" localSheetId="16" name="_stp25" vbProcedure="false">#REF!</definedName>
    <definedName function="false" hidden="false" localSheetId="16" name="_stp26" vbProcedure="false">#REF!</definedName>
    <definedName function="false" hidden="false" localSheetId="16" name="_stp27" vbProcedure="false">#REF!</definedName>
    <definedName function="false" hidden="false" localSheetId="16" name="_stp28" vbProcedure="false">#REF!</definedName>
    <definedName function="false" hidden="false" localSheetId="16" name="_stp29" vbProcedure="false">#REF!</definedName>
    <definedName function="false" hidden="false" localSheetId="16" name="_stp3" vbProcedure="false">#REF!</definedName>
    <definedName function="false" hidden="false" localSheetId="16" name="_stp30" vbProcedure="false">#REF!</definedName>
    <definedName function="false" hidden="false" localSheetId="16" name="_stp31" vbProcedure="false">#REF!</definedName>
    <definedName function="false" hidden="false" localSheetId="16" name="_stp32" vbProcedure="false">#REF!</definedName>
    <definedName function="false" hidden="false" localSheetId="16" name="_stp33" vbProcedure="false">#REF!</definedName>
    <definedName function="false" hidden="false" localSheetId="16" name="_stp34" vbProcedure="false">#REF!</definedName>
    <definedName function="false" hidden="false" localSheetId="16" name="_stp35" vbProcedure="false">#REF!</definedName>
    <definedName function="false" hidden="false" localSheetId="16" name="_stp36" vbProcedure="false">#REF!</definedName>
    <definedName function="false" hidden="false" localSheetId="16" name="_stp37" vbProcedure="false">#REF!</definedName>
    <definedName function="false" hidden="false" localSheetId="16" name="_stp38" vbProcedure="false">#REF!</definedName>
    <definedName function="false" hidden="false" localSheetId="16" name="_stp39" vbProcedure="false">#REF!</definedName>
    <definedName function="false" hidden="false" localSheetId="16" name="_stp4" vbProcedure="false">#REF!</definedName>
    <definedName function="false" hidden="false" localSheetId="16" name="_stp40" vbProcedure="false">#REF!</definedName>
    <definedName function="false" hidden="false" localSheetId="16" name="_stp41" vbProcedure="false">#REF!</definedName>
    <definedName function="false" hidden="false" localSheetId="16" name="_stp42" vbProcedure="false">#REF!</definedName>
    <definedName function="false" hidden="false" localSheetId="16" name="_stp43" vbProcedure="false">#REF!</definedName>
    <definedName function="false" hidden="false" localSheetId="16" name="_stp44" vbProcedure="false">#REF!</definedName>
    <definedName function="false" hidden="false" localSheetId="16" name="_stp45" vbProcedure="false">#REF!</definedName>
    <definedName function="false" hidden="false" localSheetId="16" name="_stp46" vbProcedure="false">#REF!</definedName>
    <definedName function="false" hidden="false" localSheetId="16" name="_stp47" vbProcedure="false">#REF!</definedName>
    <definedName function="false" hidden="false" localSheetId="16" name="_stp48" vbProcedure="false">#REF!</definedName>
    <definedName function="false" hidden="false" localSheetId="16" name="_stp49" vbProcedure="false">#REF!</definedName>
    <definedName function="false" hidden="false" localSheetId="16" name="_stp5" vbProcedure="false">#REF!</definedName>
    <definedName function="false" hidden="false" localSheetId="16" name="_stp50" vbProcedure="false">#REF!</definedName>
    <definedName function="false" hidden="false" localSheetId="16" name="_stp51" vbProcedure="false">#REF!</definedName>
    <definedName function="false" hidden="false" localSheetId="16" name="_stp52" vbProcedure="false">#REF!</definedName>
    <definedName function="false" hidden="false" localSheetId="16" name="_stp53" vbProcedure="false">#REF!</definedName>
    <definedName function="false" hidden="false" localSheetId="16" name="_stp54" vbProcedure="false">#REF!</definedName>
    <definedName function="false" hidden="false" localSheetId="16" name="_stp55" vbProcedure="false">#REF!</definedName>
    <definedName function="false" hidden="false" localSheetId="16" name="_stp56" vbProcedure="false">#REF!</definedName>
    <definedName function="false" hidden="false" localSheetId="16" name="_stp57" vbProcedure="false">#REF!</definedName>
    <definedName function="false" hidden="false" localSheetId="16" name="_stp58" vbProcedure="false">#REF!</definedName>
    <definedName function="false" hidden="false" localSheetId="16" name="_stp59" vbProcedure="false">#REF!</definedName>
    <definedName function="false" hidden="false" localSheetId="16" name="_stp6" vbProcedure="false">#REF!</definedName>
    <definedName function="false" hidden="false" localSheetId="16" name="_stp60" vbProcedure="false">#REF!</definedName>
    <definedName function="false" hidden="false" localSheetId="16" name="_stp61" vbProcedure="false">#REF!</definedName>
    <definedName function="false" hidden="false" localSheetId="16" name="_stp62" vbProcedure="false">#REF!</definedName>
    <definedName function="false" hidden="false" localSheetId="16" name="_stp63" vbProcedure="false">#REF!</definedName>
    <definedName function="false" hidden="false" localSheetId="16" name="_stp64" vbProcedure="false">#REF!</definedName>
    <definedName function="false" hidden="false" localSheetId="16" name="_stp65" vbProcedure="false">#REF!</definedName>
    <definedName function="false" hidden="false" localSheetId="16" name="_stp66" vbProcedure="false">#REF!</definedName>
    <definedName function="false" hidden="false" localSheetId="16" name="_stp67" vbProcedure="false">#REF!</definedName>
    <definedName function="false" hidden="false" localSheetId="16" name="_stp68" vbProcedure="false">#REF!</definedName>
    <definedName function="false" hidden="false" localSheetId="16" name="_stp69" vbProcedure="false">#REF!</definedName>
    <definedName function="false" hidden="false" localSheetId="16" name="_stp7" vbProcedure="false">#REF!</definedName>
    <definedName function="false" hidden="false" localSheetId="16" name="_stp70" vbProcedure="false">#REF!</definedName>
    <definedName function="false" hidden="false" localSheetId="16" name="_stp71" vbProcedure="false">#REF!</definedName>
    <definedName function="false" hidden="false" localSheetId="16" name="_stp72" vbProcedure="false">#REF!</definedName>
    <definedName function="false" hidden="false" localSheetId="16" name="_stp73" vbProcedure="false">#REF!</definedName>
    <definedName function="false" hidden="false" localSheetId="16" name="_stp74" vbProcedure="false">#REF!</definedName>
    <definedName function="false" hidden="false" localSheetId="16" name="_stp75" vbProcedure="false">#REF!</definedName>
    <definedName function="false" hidden="false" localSheetId="16" name="_stp76" vbProcedure="false">#REF!</definedName>
    <definedName function="false" hidden="false" localSheetId="16" name="_stp77" vbProcedure="false">#REF!</definedName>
    <definedName function="false" hidden="false" localSheetId="16" name="_stp78" vbProcedure="false">#REF!</definedName>
    <definedName function="false" hidden="false" localSheetId="16" name="_stp79" vbProcedure="false">#REF!</definedName>
    <definedName function="false" hidden="false" localSheetId="16" name="_stp8" vbProcedure="false">#REF!</definedName>
    <definedName function="false" hidden="false" localSheetId="16" name="_stp80" vbProcedure="false">#REF!</definedName>
    <definedName function="false" hidden="false" localSheetId="16" name="_stp81" vbProcedure="false">#REF!</definedName>
    <definedName function="false" hidden="false" localSheetId="16" name="_stp82" vbProcedure="false">#REF!</definedName>
    <definedName function="false" hidden="false" localSheetId="16" name="_stp83" vbProcedure="false">#REF!</definedName>
    <definedName function="false" hidden="false" localSheetId="16" name="_stp84" vbProcedure="false">#REF!</definedName>
    <definedName function="false" hidden="false" localSheetId="16" name="_stp85" vbProcedure="false">#REF!</definedName>
    <definedName function="false" hidden="false" localSheetId="16" name="_stp86" vbProcedure="false">#REF!</definedName>
    <definedName function="false" hidden="false" localSheetId="16" name="_stp87" vbProcedure="false">#REF!</definedName>
    <definedName function="false" hidden="false" localSheetId="16" name="_stp88" vbProcedure="false">#REF!</definedName>
    <definedName function="false" hidden="false" localSheetId="16" name="_stp89" vbProcedure="false">#REF!</definedName>
    <definedName function="false" hidden="false" localSheetId="16" name="_stp9" vbProcedure="false">#REF!</definedName>
    <definedName function="false" hidden="false" localSheetId="16" name="_stp90" vbProcedure="false">#REF!</definedName>
    <definedName function="false" hidden="false" localSheetId="16" name="_stp91" vbProcedure="false">#REF!</definedName>
    <definedName function="false" hidden="false" localSheetId="16" name="_stp92" vbProcedure="false">#REF!</definedName>
    <definedName function="false" hidden="false" localSheetId="16" name="_stp93" vbProcedure="false">#REF!</definedName>
    <definedName function="false" hidden="false" localSheetId="16" name="_stp94" vbProcedure="false">#REF!</definedName>
    <definedName function="false" hidden="false" localSheetId="16" name="_stp95" vbProcedure="false">#REF!</definedName>
    <definedName function="false" hidden="false" localSheetId="16" name="_stp96" vbProcedure="false">#REF!</definedName>
    <definedName function="false" hidden="false" localSheetId="16" name="_stp97" vbProcedure="false">#REF!</definedName>
    <definedName function="false" hidden="false" localSheetId="16" name="_stp98" vbProcedure="false">#REF!</definedName>
    <definedName function="false" hidden="false" localSheetId="16" name="_stp99" vbProcedure="false">#REF!</definedName>
    <definedName function="false" hidden="true" localSheetId="16" name="_Table1_In1" vbProcedure="false">#REF!</definedName>
    <definedName function="false" hidden="true" localSheetId="16" name="_Table1_Out" vbProcedure="false">#REF!</definedName>
    <definedName function="false" hidden="true" localSheetId="16" name="_woogi" vbProcedure="false">#REF!</definedName>
    <definedName function="false" hidden="true" localSheetId="16" name="_woogi2" vbProcedure="false">#REF!</definedName>
    <definedName function="false" hidden="true" localSheetId="16" name="_woogi24" vbProcedure="false">#REF!</definedName>
    <definedName function="false" hidden="true" localSheetId="16" name="_woogi3" vbProcedure="false">#REF!</definedName>
    <definedName function="false" hidden="false" localSheetId="16" name="_xlnm.Database" vbProcedure="false">#REF!</definedName>
    <definedName function="false" hidden="true" localSheetId="16" name="__123Graph_A" vbProcedure="false">#REF!</definedName>
    <definedName function="false" hidden="true" localSheetId="16" name="__Key11" vbProcedure="false">#REF!</definedName>
    <definedName function="false" hidden="true" localSheetId="16" name="_재ㅐ햐" vbProcedure="false">#REF!</definedName>
    <definedName function="false" hidden="false" localSheetId="16" name="ㄱ" vbProcedure="false">#REF!</definedName>
    <definedName function="false" hidden="true" localSheetId="16" name="ㄱㅈㅎ" vbProcedure="false">#REF!</definedName>
    <definedName function="false" hidden="false" localSheetId="16" name="ㄴ" vbProcedure="false">#REF!</definedName>
    <definedName function="false" hidden="true" localSheetId="16" name="ㄴㄱㄹ" vbProcedure="false">#REF!</definedName>
    <definedName function="false" hidden="true" localSheetId="16" name="ㄴㄴㄴ" vbProcedure="false">#REF!</definedName>
    <definedName function="false" hidden="true" localSheetId="16" name="ㄴㄴㄴㄴ" vbProcedure="false">#REF!</definedName>
    <definedName function="false" hidden="true" localSheetId="16" name="ㄴㄴㄴㄴㄴ" vbProcedure="false">#REF!</definedName>
    <definedName function="false" hidden="true" localSheetId="16" name="ㄴㅁㄴㅇㄹ" vbProcedure="false">#REF!</definedName>
    <definedName function="false" hidden="true" localSheetId="16" name="ㄴㅁㄹㅈㄹ" vbProcedure="false">#REF!</definedName>
    <definedName function="false" hidden="true" localSheetId="16" name="ㄴㅇㄹㄷ" vbProcedure="false">#REF!</definedName>
    <definedName function="false" hidden="true" localSheetId="16" name="ㄴㅇㄻ" vbProcedure="false">#REF!</definedName>
    <definedName function="false" hidden="false" localSheetId="16" name="ㄷ" vbProcedure="false">#REF!</definedName>
    <definedName function="false" hidden="true" localSheetId="16" name="ㄷㄷ" vbProcedure="false">#REF!</definedName>
    <definedName function="false" hidden="false" localSheetId="16" name="ㄷㄹ1" vbProcedure="false">#REF!</definedName>
    <definedName function="false" hidden="true" localSheetId="16" name="ㄷㅎㄹㅇ" vbProcedure="false">#REF!</definedName>
    <definedName function="false" hidden="false" localSheetId="16" name="ㄹ" vbProcedure="false">#REF!</definedName>
    <definedName function="false" hidden="true" localSheetId="16" name="ㄹㄴ" vbProcedure="false">#REF!</definedName>
    <definedName function="false" hidden="true" localSheetId="16" name="ㄹㄹㄹ" vbProcedure="false">#REF!</definedName>
    <definedName function="false" hidden="true" localSheetId="16" name="ㄹ호" vbProcedure="false">#REF!</definedName>
    <definedName function="false" hidden="false" localSheetId="16" name="ㅁ" vbProcedure="false">#REF!</definedName>
    <definedName function="false" hidden="false" localSheetId="16" name="ㅁ203" vbProcedure="false">#REF!</definedName>
    <definedName function="false" hidden="false" localSheetId="16" name="ㅁ2423" vbProcedure="false">#REF!</definedName>
    <definedName function="false" hidden="false" localSheetId="16" name="ㅁ426" vbProcedure="false">#REF!</definedName>
    <definedName function="false" hidden="false" localSheetId="16" name="ㅁ624" vbProcedure="false">#REF!</definedName>
    <definedName function="false" hidden="false" localSheetId="16" name="ㅁ786" vbProcedure="false">#REF!</definedName>
    <definedName function="false" hidden="true" localSheetId="16" name="ㅁㄴㅇㄻㄴㅇㄹㄴ" vbProcedure="false">#REF!</definedName>
    <definedName function="false" hidden="true" localSheetId="16" name="ㅁㄴㅇ류" vbProcedure="false">#REF!</definedName>
    <definedName function="false" hidden="true" localSheetId="16" name="ㅁㄴㅊㅍㅁㅌㅊ펌ㄴㅇㄹ" vbProcedure="false">#REF!</definedName>
    <definedName function="false" hidden="true" localSheetId="16" name="ㅁㄻㄴㅇㄹㄴㅇㄹㄴ" vbProcedure="false">#REF!</definedName>
    <definedName function="false" hidden="true" localSheetId="16" name="ㅁㅁㅁㅁㅁㅁ" vbProcedure="false">#REF!</definedName>
    <definedName function="false" hidden="true" localSheetId="16" name="ㅁㅈㄷㅅㅂㄱ흎ㅊ퓨" vbProcedure="false">#REF!</definedName>
    <definedName function="false" hidden="true" localSheetId="16" name="ㅁㅊㅇㅍㅁㄴㅇㄻㄴㅇㄹ" vbProcedure="false">#REF!</definedName>
    <definedName function="false" hidden="true" localSheetId="16" name="ㅁ인ㅍㅁ닟ㅍㅁㄴㅇㄹ" vbProcedure="false">#REF!</definedName>
    <definedName function="false" hidden="true" localSheetId="16" name="ㅁ읾ㄴㅇㄻ" vbProcedure="false">#REF!</definedName>
    <definedName function="false" hidden="false" localSheetId="16" name="ㅂ" vbProcedure="false">#REF!</definedName>
    <definedName function="false" hidden="true" localSheetId="16" name="ㅅ" vbProcedure="false">#REF!</definedName>
    <definedName function="false" hidden="false" localSheetId="16" name="ㅇ01" vbProcedure="false">#REF!</definedName>
    <definedName function="false" hidden="false" localSheetId="16" name="ㅇㄱ1" vbProcedure="false">#REF!</definedName>
    <definedName function="false" hidden="true" localSheetId="16" name="ㅇㄹ" vbProcedure="false">#REF!</definedName>
    <definedName function="false" hidden="true" localSheetId="16" name="ㅇㄹㄹ" vbProcedure="false">#REF!</definedName>
    <definedName function="false" hidden="true" localSheetId="16" name="ㅇㄹㅇㄹ" vbProcedure="false">#REF!</definedName>
    <definedName function="false" hidden="true" localSheetId="16" name="ㅇㄻㄴㅇㄻㄴㅇㄹ" vbProcedure="false">#REF!</definedName>
    <definedName function="false" hidden="true" localSheetId="16" name="ㅇㅇㄹ" vbProcedure="false">#REF!</definedName>
    <definedName function="false" hidden="true" localSheetId="16" name="ㅇㅇㅇ" vbProcedure="false">#REF!</definedName>
    <definedName function="false" hidden="true" localSheetId="16" name="ㅇㅈㄷㅄㅂㅈㄷㄱ" vbProcedure="false">#REF!</definedName>
    <definedName function="false" hidden="true" localSheetId="16" name="ㅈㄷㄻㅇㄹ" vbProcedure="false">#REF!</definedName>
    <definedName function="false" hidden="true" localSheetId="16" name="ㅈㄷㄻㅈ" vbProcedure="false">#REF!</definedName>
    <definedName function="false" hidden="false" localSheetId="16" name="ㅊ3030" vbProcedure="false">#REF!</definedName>
    <definedName function="false" hidden="true" localSheetId="16" name="ㅊㅍ" vbProcedure="false">#REF!</definedName>
    <definedName function="false" hidden="true" localSheetId="16" name="ㅍㄴㅇㄹ" vbProcedure="false">#REF!</definedName>
    <definedName function="false" hidden="false" localSheetId="16" name="ㅎ1" vbProcedure="false">#REF!</definedName>
    <definedName function="false" hidden="false" localSheetId="16" name="ㅔ갸ㅜㅅ_샤싣ㄴ" vbProcedure="false">#REF!</definedName>
    <definedName function="false" hidden="true" localSheetId="16" name="ㅠ뮤ㅐ" vbProcedure="false">#REF!</definedName>
    <definedName function="false" hidden="false" localSheetId="16" name="가" vbProcedure="false">#REF!</definedName>
    <definedName function="false" hidden="false" localSheetId="16" name="가설" vbProcedure="false">#REF!</definedName>
    <definedName function="false" hidden="true" localSheetId="16" name="개거" vbProcedure="false">#REF!</definedName>
    <definedName function="false" hidden="false" localSheetId="16" name="건축내역" vbProcedure="false">blankmacro1</definedName>
    <definedName function="false" hidden="false" localSheetId="16" name="견적서" vbProcedure="false">#REF!</definedName>
    <definedName function="false" hidden="false" localSheetId="16" name="견적서1" vbProcedure="false">#REF!</definedName>
    <definedName function="false" hidden="false" localSheetId="16" name="견적서2" vbProcedure="false">#REF!</definedName>
    <definedName function="false" hidden="false" localSheetId="16" name="견적서3" vbProcedure="false">#REF!</definedName>
    <definedName function="false" hidden="false" localSheetId="16" name="견적서4" vbProcedure="false">#REF!</definedName>
    <definedName function="false" hidden="false" localSheetId="16" name="견적서5" vbProcedure="false">#REF!</definedName>
    <definedName function="false" hidden="false" localSheetId="16" name="견적서6" vbProcedure="false">#REF!</definedName>
    <definedName function="false" hidden="false" localSheetId="16" name="견적토목" vbProcedure="false">#REF!</definedName>
    <definedName function="false" hidden="false" localSheetId="16" name="계산" vbProcedure="false">#REF!</definedName>
    <definedName function="false" hidden="true" localSheetId="16" name="계전2" vbProcedure="false">#REF!</definedName>
    <definedName function="false" hidden="true" localSheetId="16" name="고기" vbProcedure="false">#REF!</definedName>
    <definedName function="false" hidden="false" localSheetId="16" name="공사원가" vbProcedure="false">#REF!</definedName>
    <definedName function="false" hidden="false" localSheetId="16" name="공산" vbProcedure="false">#REF!</definedName>
    <definedName function="false" hidden="false" localSheetId="16" name="공산품" vbProcedure="false">#REF!</definedName>
    <definedName function="false" hidden="false" localSheetId="16" name="관급" vbProcedure="false">#REF!,#REF!,#REF!</definedName>
    <definedName function="false" hidden="false" localSheetId="16" name="광산" vbProcedure="false">#REF!</definedName>
    <definedName function="false" hidden="false" localSheetId="16" name="광산품" vbProcedure="false">#REF!</definedName>
    <definedName function="false" hidden="true" localSheetId="16" name="교통" vbProcedure="false">#REF!</definedName>
    <definedName function="false" hidden="false" localSheetId="16" name="국내장비" vbProcedure="false">#REF!</definedName>
    <definedName function="false" hidden="false" localSheetId="16" name="국내장비계" vbProcedure="false">#REF!</definedName>
    <definedName function="false" hidden="false" localSheetId="16" name="규격11" vbProcedure="false">#REF!</definedName>
    <definedName function="false" hidden="false" localSheetId="16" name="기" vbProcedure="false">#REF!</definedName>
    <definedName function="false" hidden="true" localSheetId="16" name="기성갑" vbProcedure="false">#REF!</definedName>
    <definedName function="false" hidden="false" localSheetId="16" name="기초" vbProcedure="false">#REF!</definedName>
    <definedName function="false" hidden="false" localSheetId="16" name="나" vbProcedure="false">#REF!</definedName>
    <definedName function="false" hidden="false" localSheetId="16" name="나무" vbProcedure="false">#REF!</definedName>
    <definedName function="false" hidden="true" localSheetId="16" name="남남" vbProcedure="false">#REF!</definedName>
    <definedName function="false" hidden="false" localSheetId="16" name="내역서" vbProcedure="false">#REF!</definedName>
    <definedName function="false" hidden="true" localSheetId="16" name="녭" vbProcedure="false">#REF!</definedName>
    <definedName function="false" hidden="true" localSheetId="16" name="노니" vbProcedure="false">#REF!</definedName>
    <definedName function="false" hidden="false" localSheetId="16" name="노무" vbProcedure="false">#REF!</definedName>
    <definedName function="false" hidden="false" localSheetId="16" name="노임" vbProcedure="false">#REF!</definedName>
    <definedName function="false" hidden="false" localSheetId="16" name="농림" vbProcedure="false">#REF!</definedName>
    <definedName function="false" hidden="false" localSheetId="16" name="니" vbProcedure="false">#REF!</definedName>
    <definedName function="false" hidden="false" localSheetId="16" name="다" vbProcedure="false">#REF!</definedName>
    <definedName function="false" hidden="false" localSheetId="16" name="단가" vbProcedure="false">#REF!</definedName>
    <definedName function="false" hidden="false" localSheetId="16" name="단가비교표" vbProcedure="false">#REF!,#REF!</definedName>
    <definedName function="false" hidden="false" localSheetId="16" name="단가비교표1" vbProcedure="false">#REF!,#REF!</definedName>
    <definedName function="false" hidden="true" localSheetId="16" name="대기" vbProcedure="false">#REF!</definedName>
    <definedName function="false" hidden="true" localSheetId="16" name="대한" vbProcedure="false">#REF!</definedName>
    <definedName function="false" hidden="false" localSheetId="16" name="디" vbProcedure="false">#REF!</definedName>
    <definedName function="false" hidden="true" localSheetId="16" name="디디" vbProcedure="false">#REF!</definedName>
    <definedName function="false" hidden="false" localSheetId="16" name="라" vbProcedure="false">#REF!</definedName>
    <definedName function="false" hidden="true" localSheetId="16" name="롸" vbProcedure="false">#REF!</definedName>
    <definedName function="false" hidden="true" localSheetId="16" name="뢰" vbProcedure="false">#REF!</definedName>
    <definedName function="false" hidden="true" localSheetId="16" name="루사" vbProcedure="false">#REF!</definedName>
    <definedName function="false" hidden="true" localSheetId="16" name="를" vbProcedure="false">#REF!</definedName>
    <definedName function="false" hidden="false" localSheetId="16" name="리" vbProcedure="false">#REF!</definedName>
    <definedName function="false" hidden="false" localSheetId="16" name="리스트" vbProcedure="false">#REF!</definedName>
    <definedName function="false" hidden="false" localSheetId="16" name="마" vbProcedure="false">#REF!</definedName>
    <definedName function="false" hidden="false" localSheetId="16" name="마감" vbProcedure="false">#REF!</definedName>
    <definedName function="false" hidden="false" localSheetId="16" name="마감표" vbProcedure="false">#REF!</definedName>
    <definedName function="false" hidden="true" localSheetId="16" name="매" vbProcedure="false">#REF!</definedName>
    <definedName function="false" hidden="true" localSheetId="16" name="미이" vbProcedure="false">#REF!</definedName>
    <definedName function="false" hidden="false" localSheetId="16" name="바" vbProcedure="false">#REF!</definedName>
    <definedName function="false" hidden="false" localSheetId="16" name="바탕원본표1" vbProcedure="false">#REF!</definedName>
    <definedName function="false" hidden="false" localSheetId="16" name="보" vbProcedure="false">#REF!</definedName>
    <definedName function="false" hidden="false" localSheetId="16" name="보조기층부설" vbProcedure="false">#REF!</definedName>
    <definedName function="false" hidden="true" localSheetId="16" name="복지" vbProcedure="false">#REF!</definedName>
    <definedName function="false" hidden="true" localSheetId="16" name="부대공사" vbProcedure="false">#REF!</definedName>
    <definedName function="false" hidden="true" localSheetId="16" name="비겁" vbProcedure="false">#REF!</definedName>
    <definedName function="false" hidden="false" localSheetId="16" name="비목군분류표" vbProcedure="false">#REF!</definedName>
    <definedName function="false" hidden="false" localSheetId="16" name="사" vbProcedure="false">#REF!</definedName>
    <definedName function="false" hidden="true" localSheetId="16" name="사타" vbProcedure="false">#REF!</definedName>
    <definedName function="false" hidden="true" localSheetId="16" name="산서" vbProcedure="false">#REF!</definedName>
    <definedName function="false" hidden="false" localSheetId="16" name="산재" vbProcedure="false">#REF!</definedName>
    <definedName function="false" hidden="false" localSheetId="16" name="산출내역" vbProcedure="false">#REF!</definedName>
    <definedName function="false" hidden="false" localSheetId="16" name="산출내역집계표" vbProcedure="false">#REF!</definedName>
    <definedName function="false" hidden="false" localSheetId="16" name="산출냐역" vbProcedure="false">#REF!</definedName>
    <definedName function="false" hidden="true" localSheetId="16" name="상대" vbProcedure="false">#REF!</definedName>
    <definedName function="false" hidden="true" localSheetId="16" name="새이" vbProcedure="false">#REF!</definedName>
    <definedName function="false" hidden="false" localSheetId="16" name="설" vbProcedure="false">#REF!</definedName>
    <definedName function="false" hidden="true" localSheetId="16" name="설계설명" vbProcedure="false">#REF!</definedName>
    <definedName function="false" hidden="false" localSheetId="16" name="설계속도" vbProcedure="false">#REF!</definedName>
    <definedName function="false" hidden="false" localSheetId="16" name="소일위대가1" vbProcedure="false">#REF!</definedName>
    <definedName function="false" hidden="false" localSheetId="16" name="수목" vbProcedure="false">#REF!</definedName>
    <definedName function="false" hidden="false" localSheetId="16" name="수입장비" vbProcedure="false">#REF!</definedName>
    <definedName function="false" hidden="false" localSheetId="16" name="수입장비계" vbProcedure="false">#REF!</definedName>
    <definedName function="false" hidden="false" localSheetId="16" name="시점" vbProcedure="false">#REF!</definedName>
    <definedName function="false" hidden="false" localSheetId="16" name="시점명" vbProcedure="false">#REF!</definedName>
    <definedName function="false" hidden="false" localSheetId="16" name="식재" vbProcedure="false">#REF!</definedName>
    <definedName function="false" hidden="false" localSheetId="16" name="아" vbProcedure="false">#REF!</definedName>
    <definedName function="false" hidden="true" localSheetId="16" name="아니오" vbProcedure="false">#REF!</definedName>
    <definedName function="false" hidden="false" localSheetId="16" name="아스팔트" vbProcedure="false">#REF!</definedName>
    <definedName function="false" hidden="true" localSheetId="16" name="아아" vbProcedure="false">#REF!</definedName>
    <definedName function="false" hidden="false" localSheetId="16" name="아우" vbProcedure="false">#REF!</definedName>
    <definedName function="false" hidden="true" localSheetId="16" name="애" vbProcedure="false">#REF!</definedName>
    <definedName function="false" hidden="false" localSheetId="16" name="앵커볼트" vbProcedure="false">#REF!</definedName>
    <definedName function="false" hidden="true" localSheetId="16" name="어름" vbProcedure="false">#REF!</definedName>
    <definedName function="false" hidden="true" localSheetId="16" name="업체" vbProcedure="false">#REF!</definedName>
    <definedName function="false" hidden="true" localSheetId="16" name="예산서1" vbProcedure="false">#REF!</definedName>
    <definedName function="false" hidden="false" localSheetId="16" name="오라1" vbProcedure="false">#REF!</definedName>
    <definedName function="false" hidden="false" localSheetId="16" name="원가" vbProcedure="false">#REF!</definedName>
    <definedName function="false" hidden="false" localSheetId="16" name="원가계산서" vbProcedure="false">#REF!</definedName>
    <definedName function="false" hidden="false" localSheetId="16" name="원지반다짐" vbProcedure="false">#REF!</definedName>
    <definedName function="false" hidden="true" localSheetId="16" name="으치" vbProcedure="false">#REF!</definedName>
    <definedName function="false" hidden="true" localSheetId="16" name="이릉" vbProcedure="false">#REF!</definedName>
    <definedName function="false" hidden="true" localSheetId="16" name="이미리" vbProcedure="false">#REF!</definedName>
    <definedName function="false" hidden="false" localSheetId="16" name="이식" vbProcedure="false">#REF!</definedName>
    <definedName function="false" hidden="false" localSheetId="16" name="일위" vbProcedure="false">#REF!,#REF!</definedName>
    <definedName function="false" hidden="true" localSheetId="16" name="임직" vbProcedure="false">#REF!</definedName>
    <definedName function="false" hidden="true" localSheetId="16" name="자재단가근거" vbProcedure="false">#REF!</definedName>
    <definedName function="false" hidden="false" localSheetId="16" name="재료마감표" vbProcedure="false">#REF!</definedName>
    <definedName function="false" hidden="false" localSheetId="16" name="적용대가산출표" vbProcedure="false">#REF!</definedName>
    <definedName function="false" hidden="false" localSheetId="16" name="전력" vbProcedure="false">#REF!</definedName>
    <definedName function="false" hidden="true" localSheetId="16" name="전선관및접지내역서" vbProcedure="false">#REF!</definedName>
    <definedName function="false" hidden="true" localSheetId="16" name="제수문" vbProcedure="false">#REF!</definedName>
    <definedName function="false" hidden="true" localSheetId="16" name="조찬" vbProcedure="false">#REF!</definedName>
    <definedName function="false" hidden="false" localSheetId="16" name="종목수" vbProcedure="false">#REF!</definedName>
    <definedName function="false" hidden="true" localSheetId="16" name="증감내역" vbProcedure="false">#REF!</definedName>
    <definedName function="false" hidden="false" localSheetId="16" name="지" vbProcedure="false">#REF!</definedName>
    <definedName function="false" hidden="false" localSheetId="16" name="진" vbProcedure="false">#REF!</definedName>
    <definedName function="false" hidden="false" localSheetId="16" name="집계" vbProcedure="false">#REF!</definedName>
    <definedName function="false" hidden="false" localSheetId="16" name="집계표" vbProcedure="false">#REF!</definedName>
    <definedName function="false" hidden="true" localSheetId="16" name="집수" vbProcedure="false">#REF!</definedName>
    <definedName function="false" hidden="true" localSheetId="16" name="찰샇기" vbProcedure="false">#REF!</definedName>
    <definedName function="false" hidden="false" localSheetId="16" name="참조" vbProcedure="false">#REF!</definedName>
    <definedName function="false" hidden="true" localSheetId="16" name="최종추가합" vbProcedure="false">#REF!</definedName>
    <definedName function="false" hidden="true" localSheetId="16" name="추초" vbProcedure="false">#REF!</definedName>
    <definedName function="false" hidden="true" localSheetId="16" name="충동" vbProcedure="false">#REF!</definedName>
    <definedName function="false" hidden="true" localSheetId="16" name="취입" vbProcedure="false">#REF!</definedName>
    <definedName function="false" hidden="true" localSheetId="16" name="칠성" vbProcedure="false">#REF!</definedName>
    <definedName function="false" hidden="false" localSheetId="16" name="콘크리트" vbProcedure="false">#REF!</definedName>
    <definedName function="false" hidden="true" localSheetId="16" name="콘크리트2" vbProcedure="false">#REF!</definedName>
    <definedName function="false" hidden="false" localSheetId="16" name="템플리트모듈1" vbProcedure="false">blankmacro1</definedName>
    <definedName function="false" hidden="false" localSheetId="16" name="템플리트모듈2" vbProcedure="false">blankmacro1</definedName>
    <definedName function="false" hidden="false" localSheetId="16" name="템플리트모듈3" vbProcedure="false">blankmacro1</definedName>
    <definedName function="false" hidden="false" localSheetId="16" name="템플리트모듈4" vbProcedure="false">blankmacro1</definedName>
    <definedName function="false" hidden="false" localSheetId="16" name="템플리트모듈5" vbProcedure="false">blankmacro1</definedName>
    <definedName function="false" hidden="false" localSheetId="16" name="템플리트모듈6" vbProcedure="false">blankmacro1</definedName>
    <definedName function="false" hidden="false" localSheetId="16" name="토공품목" vbProcedure="false">#REF!</definedName>
    <definedName function="false" hidden="true" localSheetId="16" name="파일" vbProcedure="false">#REF!</definedName>
    <definedName function="false" hidden="true" localSheetId="16" name="팔" vbProcedure="false">#REF!</definedName>
    <definedName function="false" hidden="true" localSheetId="16" name="페기갑지" vbProcedure="false">#REF!</definedName>
    <definedName function="false" hidden="true" localSheetId="16" name="폐기" vbProcedure="false">#REF!</definedName>
    <definedName function="false" hidden="true" localSheetId="16" name="폐기갑지용" vbProcedure="false">#REF!</definedName>
    <definedName function="false" hidden="true" localSheetId="16" name="표지2" vbProcedure="false">#REF!</definedName>
    <definedName function="false" hidden="false" localSheetId="16" name="품목" vbProcedure="false">#REF!</definedName>
    <definedName function="false" hidden="false" localSheetId="16" name="품목표" vbProcedure="false">#REF!</definedName>
    <definedName function="false" hidden="false" localSheetId="16" name="하도급1" vbProcedure="false">#REF!</definedName>
    <definedName function="false" hidden="false" localSheetId="16" name="하도급2" vbProcedure="false">#REF!</definedName>
    <definedName function="false" hidden="false" localSheetId="16" name="하도급3" vbProcedure="false">#REF!</definedName>
    <definedName function="false" hidden="false" localSheetId="16" name="하도급4" vbProcedure="false">#REF!</definedName>
    <definedName function="false" hidden="false" localSheetId="16" name="하도급5" vbProcedure="false">#REF!</definedName>
    <definedName function="false" hidden="false" localSheetId="16" name="하도급6" vbProcedure="false">#REF!</definedName>
    <definedName function="false" hidden="false" localSheetId="16" name="하도급사항" vbProcedure="false">#REF!</definedName>
    <definedName function="false" hidden="true" localSheetId="16" name="한" vbProcedure="false">#REF!</definedName>
    <definedName function="false" hidden="true" localSheetId="16" name="해" vbProcedure="false">#REF!</definedName>
    <definedName function="false" hidden="false" localSheetId="16" name="혀" vbProcedure="false">#REF!</definedName>
    <definedName function="false" hidden="false" localSheetId="16" name="현" vbProcedure="false">#REF!</definedName>
    <definedName function="false" hidden="true" localSheetId="16" name="현조" vbProcedure="false">#REF!</definedName>
    <definedName function="false" hidden="false" localSheetId="16" name="환율" vbProcedure="false">#REF!</definedName>
    <definedName function="false" hidden="false" localSheetId="18" name="A" vbProcedure="false">#REF!</definedName>
    <definedName function="false" hidden="false" localSheetId="18" name="aa" vbProcedure="false">#REF!</definedName>
    <definedName function="false" hidden="false" localSheetId="18" name="aaaaaa" vbProcedure="false">blankmacro1</definedName>
    <definedName function="false" hidden="false" localSheetId="18" name="aaaaaaa" vbProcedure="false">blankmacro1</definedName>
    <definedName function="false" hidden="false" localSheetId="18" name="aaaaaaaa" vbProcedure="false">blankmacro1</definedName>
    <definedName function="false" hidden="false" localSheetId="18" name="aaaaaaaaaaa" vbProcedure="false">blankmacro1</definedName>
    <definedName function="false" hidden="false" localSheetId="18" name="aaaaaaaaaaaaaaa" vbProcedure="false">blankmacro1</definedName>
    <definedName function="false" hidden="false" localSheetId="18" name="aaaaaaaaaaaaaaaaaaaaaa" vbProcedure="false">blankmacro1</definedName>
    <definedName function="false" hidden="false" localSheetId="18" name="Activity" vbProcedure="false">#REF!</definedName>
    <definedName function="false" hidden="false" localSheetId="18" name="acti_day" vbProcedure="false">#REF!</definedName>
    <definedName function="false" hidden="false" localSheetId="18" name="acti_month" vbProcedure="false">#REF!</definedName>
    <definedName function="false" hidden="false" localSheetId="18" name="acti_monthday" vbProcedure="false">#REF!</definedName>
    <definedName function="false" hidden="false" localSheetId="18" name="acti_year" vbProcedure="false">#REF!</definedName>
    <definedName function="false" hidden="false" localSheetId="18" name="ActR" vbProcedure="false">#REF!</definedName>
    <definedName function="false" hidden="false" localSheetId="18" name="ActR_h" vbProcedure="false">#REF!</definedName>
    <definedName function="false" hidden="true" localSheetId="18" name="ACX" vbProcedure="false">#REF!</definedName>
    <definedName function="false" hidden="true" localSheetId="18" name="alslsdkjfjs" vbProcedure="false">#REF!</definedName>
    <definedName function="false" hidden="false" localSheetId="18" name="Amount_h" vbProcedure="false">#REF!</definedName>
    <definedName function="false" hidden="false" localSheetId="18" name="anal_ij" vbProcedure="false">#REF!</definedName>
    <definedName function="false" hidden="false" localSheetId="18" name="Aㅁ2423" vbProcedure="false">#REF!</definedName>
    <definedName function="false" hidden="false" localSheetId="18" name="B" vbProcedure="false">#REF!</definedName>
    <definedName function="false" hidden="true" localSheetId="18" name="BM" vbProcedure="false">#REF!</definedName>
    <definedName function="false" hidden="false" localSheetId="18" name="cal_f_day" vbProcedure="false">#REF!</definedName>
    <definedName function="false" hidden="false" localSheetId="18" name="CCC" vbProcedure="false">#REF!</definedName>
    <definedName function="false" hidden="false" localSheetId="18" name="cordaddr" vbProcedure="false">#REF!</definedName>
    <definedName function="false" hidden="false" localSheetId="18" name="cordaddr1" vbProcedure="false">#REF!</definedName>
    <definedName function="false" hidden="false" localSheetId="18" name="CP" vbProcedure="false">#REF!</definedName>
    <definedName function="false" hidden="false" localSheetId="18" name="cpi" vbProcedure="false">#REF!</definedName>
    <definedName function="false" hidden="false" localSheetId="18" name="cpmprojaddr" vbProcedure="false">#REF!</definedName>
    <definedName function="false" hidden="false" localSheetId="18" name="cpmprojapprover" vbProcedure="false">#REF!</definedName>
    <definedName function="false" hidden="false" localSheetId="18" name="cpmprojcompoday" vbProcedure="false">#REF!</definedName>
    <definedName function="false" hidden="false" localSheetId="18" name="cpmprojcomposer" vbProcedure="false">#REF!</definedName>
    <definedName function="false" hidden="false" localSheetId="18" name="cpmprojduration" vbProcedure="false">#REF!</definedName>
    <definedName function="false" hidden="false" localSheetId="18" name="cpmprojname" vbProcedure="false">#REF!</definedName>
    <definedName function="false" hidden="false" localSheetId="18" name="cp_fnc" vbProcedure="false">#REF!</definedName>
    <definedName function="false" hidden="false" localSheetId="18" name="cp_i_blk" vbProcedure="false">#REF!</definedName>
    <definedName function="false" hidden="false" localSheetId="18" name="CR" vbProcedure="false">#REF!</definedName>
    <definedName function="false" hidden="false" localSheetId="18" name="CRa" vbProcedure="false">#REF!</definedName>
    <definedName function="false" hidden="false" localSheetId="18" name="CRb" vbProcedure="false">#REF!</definedName>
    <definedName function="false" hidden="false" localSheetId="18" name="cri_01" vbProcedure="false">#REF!</definedName>
    <definedName function="false" hidden="false" localSheetId="18" name="cri_02" vbProcedure="false">#REF!</definedName>
    <definedName function="false" hidden="false" localSheetId="18" name="cri_03" vbProcedure="false">#REF!</definedName>
    <definedName function="false" hidden="false" localSheetId="18" name="cri_CP_is_CA" vbProcedure="false">#REF!</definedName>
    <definedName function="false" hidden="false" localSheetId="18" name="cri_gjtitle" vbProcedure="false">#REF!</definedName>
    <definedName function="false" hidden="false" localSheetId="18" name="cri_ij_co" vbProcedure="false">#REF!</definedName>
    <definedName function="false" hidden="false" localSheetId="18" name="cri_now_iv" vbProcedure="false">#REF!</definedName>
    <definedName function="false" hidden="false" localSheetId="18" name="cri_out" vbProcedure="false">#REF!</definedName>
    <definedName function="false" hidden="false" localSheetId="18" name="cri_pnt" vbProcedure="false">#REF!</definedName>
    <definedName function="false" hidden="false" localSheetId="18" name="cri_top" vbProcedure="false">#REF!</definedName>
    <definedName function="false" hidden="false" localSheetId="18" name="crtrcd" vbProcedure="false">#REF!</definedName>
    <definedName function="false" hidden="false" localSheetId="18" name="DANGA" vbProcedure="false">#REF!,#REF!</definedName>
    <definedName function="false" hidden="false" localSheetId="18" name="data" vbProcedure="false">#REF!</definedName>
    <definedName function="false" hidden="true" localSheetId="18" name="dataww" vbProcedure="false">#REF!</definedName>
    <definedName function="false" hidden="false" localSheetId="18" name="data_block" vbProcedure="false">#REF!</definedName>
    <definedName function="false" hidden="false" localSheetId="18" name="data_block2" vbProcedure="false">#REF!</definedName>
    <definedName function="false" hidden="false" localSheetId="18" name="date_errchk" vbProcedure="false">#REF!</definedName>
    <definedName function="false" hidden="false" localSheetId="18" name="date_errval" vbProcedure="false">#REF!</definedName>
    <definedName function="false" hidden="false" localSheetId="18" name="DDDDA" vbProcedure="false">blankmacro1</definedName>
    <definedName function="false" hidden="false" localSheetId="18" name="DDS" vbProcedure="false">blankmacro1</definedName>
    <definedName function="false" hidden="false" localSheetId="18" name="DDW" vbProcedure="false">blankmacro1</definedName>
    <definedName function="false" hidden="true" localSheetId="18" name="DFASDF" vbProcedure="false">#REF!</definedName>
    <definedName function="false" hidden="false" localSheetId="18" name="Dij" vbProcedure="false">#REF!</definedName>
    <definedName function="false" hidden="false" localSheetId="18" name="DKD" vbProcedure="false">blankmacro1</definedName>
    <definedName function="false" hidden="false" localSheetId="18" name="DKE" vbProcedure="false">blankmacro1</definedName>
    <definedName function="false" hidden="false" localSheetId="18" name="dlsrks" vbProcedure="false">blankmacro1</definedName>
    <definedName function="false" hidden="false" localSheetId="18" name="DMsum" vbProcedure="false">#REF!</definedName>
    <definedName function="false" hidden="false" localSheetId="18" name="DRsum" vbProcedure="false">#REF!</definedName>
    <definedName function="false" hidden="false" localSheetId="18" name="DS" vbProcedure="false">blankmacro1</definedName>
    <definedName function="false" hidden="false" localSheetId="18" name="DWS" vbProcedure="false">blankmacro1</definedName>
    <definedName function="false" hidden="false" localSheetId="18" name="d_errchk" vbProcedure="false">#REF!</definedName>
    <definedName function="false" hidden="false" localSheetId="18" name="D열" vbProcedure="false">#REF!</definedName>
    <definedName function="false" hidden="false" localSheetId="18" name="edit__home__del__branch_\f" vbProcedure="false">#REF!</definedName>
    <definedName function="false" hidden="false" localSheetId="18" name="eeeeeeeee" vbProcedure="false">blankmacro1</definedName>
    <definedName function="false" hidden="false" localSheetId="18" name="EF" vbProcedure="false">#REF!</definedName>
    <definedName function="false" hidden="false" localSheetId="18" name="Efd" vbProcedure="false">#REF!</definedName>
    <definedName function="false" hidden="false" localSheetId="18" name="Efd_h" vbProcedure="false">#REF!</definedName>
    <definedName function="false" hidden="false" localSheetId="18" name="ef_val" vbProcedure="false">#REF!</definedName>
    <definedName function="false" hidden="true" localSheetId="18" name="EK" vbProcedure="false">#REF!</definedName>
    <definedName function="false" hidden="false" localSheetId="18" name="end_day" vbProcedure="false">#REF!</definedName>
    <definedName function="false" hidden="false" localSheetId="18" name="end_month" vbProcedure="false">#REF!</definedName>
    <definedName function="false" hidden="false" localSheetId="18" name="end_year" vbProcedure="false">#REF!</definedName>
    <definedName function="false" hidden="false" localSheetId="18" name="ES" vbProcedure="false">#REF!</definedName>
    <definedName function="false" hidden="false" localSheetId="18" name="Esd" vbProcedure="false">#REF!</definedName>
    <definedName function="false" hidden="false" localSheetId="18" name="Esd_h" vbProcedure="false">#REF!</definedName>
    <definedName function="false" hidden="false" localSheetId="18" name="es_block" vbProcedure="false">#REF!</definedName>
    <definedName function="false" hidden="false" localSheetId="18" name="es_val" vbProcedure="false">#REF!</definedName>
    <definedName function="false" hidden="false" localSheetId="18" name="etcrcd" vbProcedure="false">#REF!</definedName>
    <definedName function="false" hidden="false" localSheetId="18" name="EXE" vbProcedure="false">blankmacro1</definedName>
    <definedName function="false" hidden="false" localSheetId="18" name="FEEL" vbProcedure="false">#REF!</definedName>
    <definedName function="false" hidden="false" localSheetId="18" name="FF" vbProcedure="false">#REF!</definedName>
    <definedName function="false" hidden="false" localSheetId="18" name="ff_block" vbProcedure="false">#REF!</definedName>
    <definedName function="false" hidden="false" localSheetId="18" name="FF_h" vbProcedure="false">#REF!</definedName>
    <definedName function="false" hidden="false" localSheetId="18" name="ff_val" vbProcedure="false">#REF!</definedName>
    <definedName function="false" hidden="true" localSheetId="18" name="fkf" vbProcedure="false">#REF!</definedName>
    <definedName function="false" hidden="true" localSheetId="18" name="GEMCO" vbProcedure="false">#REF!</definedName>
    <definedName function="false" hidden="false" localSheetId="18" name="get_gjcode" vbProcedure="false">#REF!</definedName>
    <definedName function="false" hidden="false" localSheetId="18" name="gjamount_top" vbProcedure="false">#REF!</definedName>
    <definedName function="false" hidden="false" localSheetId="18" name="gjcnt_top" vbProcedure="false">#REF!</definedName>
    <definedName function="false" hidden="false" localSheetId="18" name="GJcord" vbProcedure="false">#REF!</definedName>
    <definedName function="false" hidden="false" localSheetId="18" name="gjcord_stp" vbProcedure="false">#REF!</definedName>
    <definedName function="false" hidden="false" localSheetId="18" name="gjcord_top1" vbProcedure="false">#REF!</definedName>
    <definedName function="false" hidden="false" localSheetId="18" name="gjcord_top10" vbProcedure="false">#REF!</definedName>
    <definedName function="false" hidden="false" localSheetId="18" name="gjcord_top11" vbProcedure="false">#REF!</definedName>
    <definedName function="false" hidden="false" localSheetId="18" name="gjcord_top12" vbProcedure="false">#REF!</definedName>
    <definedName function="false" hidden="false" localSheetId="18" name="gjcord_top13" vbProcedure="false">#REF!</definedName>
    <definedName function="false" hidden="false" localSheetId="18" name="gjcord_top14" vbProcedure="false">#REF!</definedName>
    <definedName function="false" hidden="false" localSheetId="18" name="gjcord_top15" vbProcedure="false">#REF!</definedName>
    <definedName function="false" hidden="false" localSheetId="18" name="gjcord_top16" vbProcedure="false">#REF!</definedName>
    <definedName function="false" hidden="false" localSheetId="18" name="gjcord_top17" vbProcedure="false">#REF!</definedName>
    <definedName function="false" hidden="false" localSheetId="18" name="gjcord_top18" vbProcedure="false">#REF!</definedName>
    <definedName function="false" hidden="false" localSheetId="18" name="gjcord_top19" vbProcedure="false">#REF!</definedName>
    <definedName function="false" hidden="false" localSheetId="18" name="gjcord_top2" vbProcedure="false">#REF!</definedName>
    <definedName function="false" hidden="false" localSheetId="18" name="gjcord_top3" vbProcedure="false">#REF!</definedName>
    <definedName function="false" hidden="false" localSheetId="18" name="gjcord_top4" vbProcedure="false">#REF!</definedName>
    <definedName function="false" hidden="false" localSheetId="18" name="gjcord_top5" vbProcedure="false">#REF!</definedName>
    <definedName function="false" hidden="false" localSheetId="18" name="gjcord_top6" vbProcedure="false">#REF!</definedName>
    <definedName function="false" hidden="false" localSheetId="18" name="gjcord_top7" vbProcedure="false">#REF!</definedName>
    <definedName function="false" hidden="false" localSheetId="18" name="gjcord_top8" vbProcedure="false">#REF!</definedName>
    <definedName function="false" hidden="false" localSheetId="18" name="gjcord_top9" vbProcedure="false">#REF!</definedName>
    <definedName function="false" hidden="false" localSheetId="18" name="gjnamedata" vbProcedure="false">#REF!</definedName>
    <definedName function="false" hidden="false" localSheetId="18" name="gjnamedata1" vbProcedure="false">#REF!</definedName>
    <definedName function="false" hidden="false" localSheetId="18" name="gjnamedata2" vbProcedure="false">#REF!</definedName>
    <definedName function="false" hidden="false" localSheetId="18" name="gjrate" vbProcedure="false">#REF!</definedName>
    <definedName function="false" hidden="false" localSheetId="18" name="GONGJONG" vbProcedure="false">#REF!</definedName>
    <definedName function="false" hidden="true" localSheetId="18" name="grew" vbProcedure="false">#REF!</definedName>
    <definedName function="false" hidden="true" localSheetId="18" name="GUSTLS" vbProcedure="false">#REF!</definedName>
    <definedName function="false" hidden="false" localSheetId="18" name="G열" vbProcedure="false">#REF!</definedName>
    <definedName function="false" hidden="true" localSheetId="18" name="han" vbProcedure="false">#REF!</definedName>
    <definedName function="false" hidden="true" localSheetId="18" name="hardwar" vbProcedure="false">#REF!</definedName>
    <definedName function="false" hidden="false" localSheetId="18" name="HP" vbProcedure="false">#REF!</definedName>
    <definedName function="false" hidden="false" localSheetId="18" name="i" vbProcedure="false">#REF!</definedName>
    <definedName function="false" hidden="false" localSheetId="18" name="ID" vbProcedure="false">#REF!,#REF!</definedName>
    <definedName function="false" hidden="false" localSheetId="18" name="ii_val" vbProcedure="false">#REF!</definedName>
    <definedName function="false" hidden="false" localSheetId="18" name="ij_cod_blk" vbProcedure="false">#REF!</definedName>
    <definedName function="false" hidden="false" localSheetId="18" name="isactirate" vbProcedure="false">#REF!</definedName>
    <definedName function="false" hidden="false" localSheetId="18" name="iv_check" vbProcedure="false">#REF!</definedName>
    <definedName function="false" hidden="false" localSheetId="18" name="iv_check2" vbProcedure="false">#REF!</definedName>
    <definedName function="false" hidden="false" localSheetId="18" name="ix_v" vbProcedure="false">#REF!</definedName>
    <definedName function="false" hidden="false" localSheetId="18" name="iy_v" vbProcedure="false">#REF!</definedName>
    <definedName function="false" hidden="false" localSheetId="18" name="i_start" vbProcedure="false">#REF!</definedName>
    <definedName function="false" hidden="false" localSheetId="18" name="i_val" vbProcedure="false">#REF!</definedName>
    <definedName function="false" hidden="false" localSheetId="18" name="j" vbProcedure="false">#REF!</definedName>
    <definedName function="false" hidden="false" localSheetId="18" name="j_val" vbProcedure="false">#REF!</definedName>
    <definedName function="false" hidden="false" localSheetId="18" name="KK" vbProcedure="false">#REF!</definedName>
    <definedName function="false" hidden="true" localSheetId="18" name="ktf" vbProcedure="false">#REF!</definedName>
    <definedName function="false" hidden="true" localSheetId="18" name="kty" vbProcedure="false">#REF!</definedName>
    <definedName function="false" hidden="false" localSheetId="18" name="labordata" vbProcedure="false">#REF!</definedName>
    <definedName function="false" hidden="false" localSheetId="18" name="Lbox1" vbProcedure="false">#REF!</definedName>
    <definedName function="false" hidden="false" localSheetId="18" name="LF" vbProcedure="false">#REF!</definedName>
    <definedName function="false" hidden="false" localSheetId="18" name="Lfd" vbProcedure="false">#REF!</definedName>
    <definedName function="false" hidden="false" localSheetId="18" name="lf_block" vbProcedure="false">#REF!</definedName>
    <definedName function="false" hidden="false" localSheetId="18" name="lf_val" vbProcedure="false">#REF!</definedName>
    <definedName function="false" hidden="false" localSheetId="18" name="LL" vbProcedure="false">#REF!</definedName>
    <definedName function="false" hidden="false" localSheetId="18" name="LS" vbProcedure="false">#REF!</definedName>
    <definedName function="false" hidden="false" localSheetId="18" name="Lsd" vbProcedure="false">#REF!</definedName>
    <definedName function="false" hidden="true" localSheetId="18" name="m" vbProcedure="false">#REF!</definedName>
    <definedName function="false" hidden="false" localSheetId="18" name="Main" vbProcedure="false">#REF!</definedName>
    <definedName function="false" hidden="false" localSheetId="18" name="MAINPART" vbProcedure="false">#REF!</definedName>
    <definedName function="false" hidden="false" localSheetId="18" name="maintitle_top" vbProcedure="false">#REF!</definedName>
    <definedName function="false" hidden="false" localSheetId="18" name="mf" vbProcedure="false">#REF!</definedName>
    <definedName function="false" hidden="false" localSheetId="18" name="MMM" vbProcedure="false">blankmacro1</definedName>
    <definedName function="false" hidden="false" localSheetId="18" name="MONEY" vbProcedure="false">#REF!,#REF!</definedName>
    <definedName function="false" hidden="false" localSheetId="18" name="m_errchk" vbProcedure="false">#REF!</definedName>
    <definedName function="false" hidden="false" localSheetId="18" name="now_ef" vbProcedure="false">#REF!</definedName>
    <definedName function="false" hidden="false" localSheetId="18" name="now_iv" vbProcedure="false">#REF!</definedName>
    <definedName function="false" hidden="false" localSheetId="18" name="n_x" vbProcedure="false">#REF!</definedName>
    <definedName function="false" hidden="false" localSheetId="18" name="n_x1" vbProcedure="false">#REF!</definedName>
    <definedName function="false" hidden="false" localSheetId="18" name="n_y" vbProcedure="false">#REF!</definedName>
    <definedName function="false" hidden="false" localSheetId="18" name="n_y1" vbProcedure="false">#REF!</definedName>
    <definedName function="false" hidden="true" localSheetId="18" name="ODH" vbProcedure="false">#REF!</definedName>
    <definedName function="false" hidden="false" localSheetId="18" name="OO" vbProcedure="false">#REF!</definedName>
    <definedName function="false" hidden="false" localSheetId="18" name="OOO" vbProcedure="false">#REF!</definedName>
    <definedName function="false" hidden="false" localSheetId="18" name="pass_x" vbProcedure="false">#REF!</definedName>
    <definedName function="false" hidden="false" localSheetId="18" name="pass_x2" vbProcedure="false">#REF!</definedName>
    <definedName function="false" hidden="false" localSheetId="18" name="pass_x3" vbProcedure="false">#REF!</definedName>
    <definedName function="false" hidden="false" localSheetId="18" name="pass_x4" vbProcedure="false">#REF!</definedName>
    <definedName function="false" hidden="false" localSheetId="18" name="pastcod_blk" vbProcedure="false">#REF!</definedName>
    <definedName function="false" hidden="false" localSheetId="18" name="pastcod_pnt" vbProcedure="false">#REF!</definedName>
    <definedName function="false" hidden="false" localSheetId="18" name="PlanRate" vbProcedure="false">#REF!</definedName>
    <definedName function="false" hidden="false" localSheetId="18" name="PPP" vbProcedure="false">#REF!</definedName>
    <definedName function="false" hidden="false" localSheetId="18" name="Pr" vbProcedure="false">#REF!</definedName>
    <definedName function="false" hidden="false" localSheetId="18" name="PracRate" vbProcedure="false">#REF!</definedName>
    <definedName function="false" hidden="false" localSheetId="18" name="prg" vbProcedure="false">#REF!</definedName>
    <definedName function="false" hidden="false" localSheetId="18" name="PRINT_AREA_MI" vbProcedure="false">#REF!</definedName>
    <definedName function="false" hidden="false" localSheetId="18" name="projactiday" vbProcedure="false">#REF!</definedName>
    <definedName function="false" hidden="false" localSheetId="18" name="projactiday2" vbProcedure="false">#REF!</definedName>
    <definedName function="false" hidden="false" localSheetId="18" name="projactiday3" vbProcedure="false">#REF!</definedName>
    <definedName function="false" hidden="false" localSheetId="18" name="projaddr" vbProcedure="false">#REF!</definedName>
    <definedName function="false" hidden="false" localSheetId="18" name="projapprover" vbProcedure="false">#REF!</definedName>
    <definedName function="false" hidden="false" localSheetId="18" name="projbuf_0" vbProcedure="false">#REF!</definedName>
    <definedName function="false" hidden="false" localSheetId="18" name="projbuf_1" vbProcedure="false">#REF!</definedName>
    <definedName function="false" hidden="false" localSheetId="18" name="projbuf_2" vbProcedure="false">#REF!</definedName>
    <definedName function="false" hidden="false" localSheetId="18" name="projcalday" vbProcedure="false">#REF!</definedName>
    <definedName function="false" hidden="false" localSheetId="18" name="projcompoday" vbProcedure="false">#REF!</definedName>
    <definedName function="false" hidden="false" localSheetId="18" name="projcomposer" vbProcedure="false">#REF!</definedName>
    <definedName function="false" hidden="false" localSheetId="18" name="projduration" vbProcedure="false">#REF!</definedName>
    <definedName function="false" hidden="false" localSheetId="18" name="projendday" vbProcedure="false">#REF!</definedName>
    <definedName function="false" hidden="false" localSheetId="18" name="projname" vbProcedure="false">#REF!</definedName>
    <definedName function="false" hidden="false" localSheetId="18" name="projstday" vbProcedure="false">#REF!</definedName>
    <definedName function="false" hidden="false" localSheetId="18" name="projstday2" vbProcedure="false">#REF!</definedName>
    <definedName function="false" hidden="false" localSheetId="18" name="P_NAE" vbProcedure="false">#REF!</definedName>
    <definedName function="false" hidden="false" localSheetId="18" name="P_NAE2" vbProcedure="false">#REF!</definedName>
    <definedName function="false" hidden="false" localSheetId="18" name="Q" vbProcedure="false">blankmacro1</definedName>
    <definedName function="false" hidden="false" localSheetId="18" name="qq" vbProcedure="false">#REF!</definedName>
    <definedName function="false" hidden="false" localSheetId="18" name="QQQ" vbProcedure="false">#REF!</definedName>
    <definedName function="false" hidden="false" localSheetId="18" name="qqqq" vbProcedure="false">dlog_show</definedName>
    <definedName function="false" hidden="false" localSheetId="18" name="rate_top" vbProcedure="false">#REF!</definedName>
    <definedName function="false" hidden="true" localSheetId="18" name="RFYIFIOYGOPIO" vbProcedure="false">#REF!</definedName>
    <definedName function="false" hidden="false" localSheetId="18" name="rkatnwl" vbProcedure="false">blankmacro1</definedName>
    <definedName function="false" hidden="false" localSheetId="18" name="RR" vbProcedure="false">#REF!</definedName>
    <definedName function="false" hidden="false" localSheetId="18" name="sche_buf1" vbProcedure="false">#REF!</definedName>
    <definedName function="false" hidden="false" localSheetId="18" name="sche_buf2" vbProcedure="false">#REF!</definedName>
    <definedName function="false" hidden="false" localSheetId="18" name="sche_buf3" vbProcedure="false">#REF!</definedName>
    <definedName function="false" hidden="false" localSheetId="18" name="sche_duration" vbProcedure="false">#REF!</definedName>
    <definedName function="false" hidden="false" localSheetId="18" name="sche_endday" vbProcedure="false">#REF!</definedName>
    <definedName function="false" hidden="false" localSheetId="18" name="sche_projname" vbProcedure="false">#REF!</definedName>
    <definedName function="false" hidden="false" localSheetId="18" name="sche_stday" vbProcedure="false">#REF!</definedName>
    <definedName function="false" hidden="false" localSheetId="18" name="SChonsei" vbProcedure="false">#REF!</definedName>
    <definedName function="false" hidden="false" localSheetId="18" name="scri_out" vbProcedure="false">#REF!</definedName>
    <definedName function="false" hidden="false" localSheetId="18" name="scri_top" vbProcedure="false">#REF!</definedName>
    <definedName function="false" hidden="false" localSheetId="18" name="spi_pnt" vbProcedure="false">#REF!</definedName>
    <definedName function="false" hidden="false" localSheetId="18" name="sp_i_blk" vbProcedure="false">#REF!</definedName>
    <definedName function="false" hidden="false" localSheetId="18" name="ss" vbProcedure="false">#REF!</definedName>
    <definedName function="false" hidden="false" localSheetId="18" name="stp0" vbProcedure="false">#REF!</definedName>
    <definedName function="false" hidden="false" localSheetId="18" name="stp_1" vbProcedure="false">#REF!</definedName>
    <definedName function="false" hidden="false" localSheetId="18" name="stp_10" vbProcedure="false">#REF!</definedName>
    <definedName function="false" hidden="false" localSheetId="18" name="stp_11" vbProcedure="false">#REF!</definedName>
    <definedName function="false" hidden="false" localSheetId="18" name="stp_12" vbProcedure="false">#REF!</definedName>
    <definedName function="false" hidden="false" localSheetId="18" name="stp_13" vbProcedure="false">#REF!</definedName>
    <definedName function="false" hidden="false" localSheetId="18" name="stp_14" vbProcedure="false">#REF!</definedName>
    <definedName function="false" hidden="false" localSheetId="18" name="stp_15" vbProcedure="false">#REF!</definedName>
    <definedName function="false" hidden="false" localSheetId="18" name="stp_16" vbProcedure="false">#REF!</definedName>
    <definedName function="false" hidden="false" localSheetId="18" name="stp_17" vbProcedure="false">#REF!</definedName>
    <definedName function="false" hidden="false" localSheetId="18" name="stp_18" vbProcedure="false">#REF!</definedName>
    <definedName function="false" hidden="false" localSheetId="18" name="stp_19" vbProcedure="false">#REF!</definedName>
    <definedName function="false" hidden="false" localSheetId="18" name="stp_2" vbProcedure="false">#REF!</definedName>
    <definedName function="false" hidden="false" localSheetId="18" name="stp_20" vbProcedure="false">#REF!</definedName>
    <definedName function="false" hidden="false" localSheetId="18" name="stp_21" vbProcedure="false">#REF!</definedName>
    <definedName function="false" hidden="false" localSheetId="18" name="stp_22" vbProcedure="false">#REF!</definedName>
    <definedName function="false" hidden="false" localSheetId="18" name="stp_23" vbProcedure="false">#REF!</definedName>
    <definedName function="false" hidden="false" localSheetId="18" name="stp_24" vbProcedure="false">#REF!</definedName>
    <definedName function="false" hidden="false" localSheetId="18" name="stp_25" vbProcedure="false">#REF!</definedName>
    <definedName function="false" hidden="false" localSheetId="18" name="stp_26" vbProcedure="false">#REF!</definedName>
    <definedName function="false" hidden="false" localSheetId="18" name="stp_27" vbProcedure="false">#REF!</definedName>
    <definedName function="false" hidden="false" localSheetId="18" name="stp_28" vbProcedure="false">#REF!</definedName>
    <definedName function="false" hidden="false" localSheetId="18" name="stp_29" vbProcedure="false">#REF!</definedName>
    <definedName function="false" hidden="false" localSheetId="18" name="stp_3" vbProcedure="false">#REF!</definedName>
    <definedName function="false" hidden="false" localSheetId="18" name="stp_30" vbProcedure="false">#REF!</definedName>
    <definedName function="false" hidden="false" localSheetId="18" name="stp_31" vbProcedure="false">#REF!</definedName>
    <definedName function="false" hidden="false" localSheetId="18" name="stp_32" vbProcedure="false">#REF!</definedName>
    <definedName function="false" hidden="false" localSheetId="18" name="stp_33" vbProcedure="false">#REF!</definedName>
    <definedName function="false" hidden="false" localSheetId="18" name="stp_34" vbProcedure="false">#REF!</definedName>
    <definedName function="false" hidden="false" localSheetId="18" name="stp_35" vbProcedure="false">#REF!</definedName>
    <definedName function="false" hidden="false" localSheetId="18" name="stp_36" vbProcedure="false">#REF!</definedName>
    <definedName function="false" hidden="false" localSheetId="18" name="stp_37" vbProcedure="false">#REF!</definedName>
    <definedName function="false" hidden="false" localSheetId="18" name="stp_38" vbProcedure="false">#REF!</definedName>
    <definedName function="false" hidden="false" localSheetId="18" name="stp_39" vbProcedure="false">#REF!</definedName>
    <definedName function="false" hidden="false" localSheetId="18" name="stp_4" vbProcedure="false">#REF!</definedName>
    <definedName function="false" hidden="false" localSheetId="18" name="stp_40" vbProcedure="false">#REF!</definedName>
    <definedName function="false" hidden="false" localSheetId="18" name="stp_41" vbProcedure="false">#REF!</definedName>
    <definedName function="false" hidden="false" localSheetId="18" name="stp_42" vbProcedure="false">#REF!</definedName>
    <definedName function="false" hidden="false" localSheetId="18" name="stp_43" vbProcedure="false">#REF!</definedName>
    <definedName function="false" hidden="false" localSheetId="18" name="stp_44" vbProcedure="false">#REF!</definedName>
    <definedName function="false" hidden="false" localSheetId="18" name="stp_45" vbProcedure="false">#REF!</definedName>
    <definedName function="false" hidden="false" localSheetId="18" name="stp_46" vbProcedure="false">#REF!</definedName>
    <definedName function="false" hidden="false" localSheetId="18" name="stp_47" vbProcedure="false">#REF!</definedName>
    <definedName function="false" hidden="false" localSheetId="18" name="stp_48" vbProcedure="false">#REF!</definedName>
    <definedName function="false" hidden="false" localSheetId="18" name="stp_49" vbProcedure="false">#REF!</definedName>
    <definedName function="false" hidden="false" localSheetId="18" name="stp_5" vbProcedure="false">#REF!</definedName>
    <definedName function="false" hidden="false" localSheetId="18" name="stp_50" vbProcedure="false">#REF!</definedName>
    <definedName function="false" hidden="false" localSheetId="18" name="stp_51" vbProcedure="false">#REF!</definedName>
    <definedName function="false" hidden="false" localSheetId="18" name="stp_52" vbProcedure="false">#REF!</definedName>
    <definedName function="false" hidden="false" localSheetId="18" name="stp_53" vbProcedure="false">#REF!</definedName>
    <definedName function="false" hidden="false" localSheetId="18" name="stp_54" vbProcedure="false">#REF!</definedName>
    <definedName function="false" hidden="false" localSheetId="18" name="stp_55" vbProcedure="false">#REF!</definedName>
    <definedName function="false" hidden="false" localSheetId="18" name="stp_56" vbProcedure="false">#REF!</definedName>
    <definedName function="false" hidden="false" localSheetId="18" name="stp_57" vbProcedure="false">#REF!</definedName>
    <definedName function="false" hidden="false" localSheetId="18" name="stp_58" vbProcedure="false">#REF!</definedName>
    <definedName function="false" hidden="false" localSheetId="18" name="stp_59" vbProcedure="false">#REF!</definedName>
    <definedName function="false" hidden="false" localSheetId="18" name="stp_6" vbProcedure="false">#REF!</definedName>
    <definedName function="false" hidden="false" localSheetId="18" name="stp_60" vbProcedure="false">#REF!</definedName>
    <definedName function="false" hidden="false" localSheetId="18" name="stp_61" vbProcedure="false">#REF!</definedName>
    <definedName function="false" hidden="false" localSheetId="18" name="stp_62" vbProcedure="false">#REF!</definedName>
    <definedName function="false" hidden="false" localSheetId="18" name="stp_63" vbProcedure="false">#REF!</definedName>
    <definedName function="false" hidden="false" localSheetId="18" name="stp_64" vbProcedure="false">#REF!</definedName>
    <definedName function="false" hidden="false" localSheetId="18" name="stp_65" vbProcedure="false">#REF!</definedName>
    <definedName function="false" hidden="false" localSheetId="18" name="stp_66" vbProcedure="false">#REF!</definedName>
    <definedName function="false" hidden="false" localSheetId="18" name="stp_67" vbProcedure="false">#REF!</definedName>
    <definedName function="false" hidden="false" localSheetId="18" name="stp_68" vbProcedure="false">#REF!</definedName>
    <definedName function="false" hidden="false" localSheetId="18" name="stp_69" vbProcedure="false">#REF!</definedName>
    <definedName function="false" hidden="false" localSheetId="18" name="stp_7" vbProcedure="false">#REF!</definedName>
    <definedName function="false" hidden="false" localSheetId="18" name="stp_70" vbProcedure="false">#REF!</definedName>
    <definedName function="false" hidden="false" localSheetId="18" name="stp_71" vbProcedure="false">#REF!</definedName>
    <definedName function="false" hidden="false" localSheetId="18" name="stp_72" vbProcedure="false">#REF!</definedName>
    <definedName function="false" hidden="false" localSheetId="18" name="stp_73" vbProcedure="false">#REF!</definedName>
    <definedName function="false" hidden="false" localSheetId="18" name="stp_74" vbProcedure="false">#REF!</definedName>
    <definedName function="false" hidden="false" localSheetId="18" name="stp_75" vbProcedure="false">#REF!</definedName>
    <definedName function="false" hidden="false" localSheetId="18" name="stp_76" vbProcedure="false">#REF!</definedName>
    <definedName function="false" hidden="false" localSheetId="18" name="stp_77" vbProcedure="false">#REF!</definedName>
    <definedName function="false" hidden="false" localSheetId="18" name="stp_78" vbProcedure="false">#REF!</definedName>
    <definedName function="false" hidden="false" localSheetId="18" name="stp_79" vbProcedure="false">#REF!</definedName>
    <definedName function="false" hidden="false" localSheetId="18" name="stp_8" vbProcedure="false">#REF!</definedName>
    <definedName function="false" hidden="false" localSheetId="18" name="stp_80" vbProcedure="false">#REF!</definedName>
    <definedName function="false" hidden="false" localSheetId="18" name="stp_81" vbProcedure="false">#REF!</definedName>
    <definedName function="false" hidden="false" localSheetId="18" name="stp_82" vbProcedure="false">#REF!</definedName>
    <definedName function="false" hidden="false" localSheetId="18" name="stp_83" vbProcedure="false">#REF!</definedName>
    <definedName function="false" hidden="false" localSheetId="18" name="stp_84" vbProcedure="false">#REF!</definedName>
    <definedName function="false" hidden="false" localSheetId="18" name="stp_85" vbProcedure="false">#REF!</definedName>
    <definedName function="false" hidden="false" localSheetId="18" name="stp_86" vbProcedure="false">#REF!</definedName>
    <definedName function="false" hidden="false" localSheetId="18" name="stp_87" vbProcedure="false">#REF!</definedName>
    <definedName function="false" hidden="false" localSheetId="18" name="stp_88" vbProcedure="false">#REF!</definedName>
    <definedName function="false" hidden="false" localSheetId="18" name="stp_89" vbProcedure="false">#REF!</definedName>
    <definedName function="false" hidden="false" localSheetId="18" name="stp_9" vbProcedure="false">#REF!</definedName>
    <definedName function="false" hidden="false" localSheetId="18" name="stp_90" vbProcedure="false">#REF!</definedName>
    <definedName function="false" hidden="false" localSheetId="18" name="stp_91" vbProcedure="false">#REF!</definedName>
    <definedName function="false" hidden="false" localSheetId="18" name="stp_92" vbProcedure="false">#REF!</definedName>
    <definedName function="false" hidden="false" localSheetId="18" name="stp_93" vbProcedure="false">#REF!</definedName>
    <definedName function="false" hidden="false" localSheetId="18" name="stp_94" vbProcedure="false">#REF!</definedName>
    <definedName function="false" hidden="false" localSheetId="18" name="stp_95" vbProcedure="false">#REF!</definedName>
    <definedName function="false" hidden="false" localSheetId="18" name="stp_96" vbProcedure="false">#REF!</definedName>
    <definedName function="false" hidden="false" localSheetId="18" name="stp_97" vbProcedure="false">#REF!</definedName>
    <definedName function="false" hidden="false" localSheetId="18" name="stp_98" vbProcedure="false">#REF!</definedName>
    <definedName function="false" hidden="false" localSheetId="18" name="stp_99" vbProcedure="false">#REF!</definedName>
    <definedName function="false" hidden="false" localSheetId="18" name="st_day" vbProcedure="false">#REF!</definedName>
    <definedName function="false" hidden="false" localSheetId="18" name="st_month" vbProcedure="false">#REF!</definedName>
    <definedName function="false" hidden="false" localSheetId="18" name="st_monthday" vbProcedure="false">#REF!</definedName>
    <definedName function="false" hidden="false" localSheetId="18" name="st_year" vbProcedure="false">#REF!</definedName>
    <definedName function="false" hidden="false" localSheetId="18" name="SubDic" vbProcedure="false">#REF!</definedName>
    <definedName function="false" hidden="false" localSheetId="18" name="subs_pnt" vbProcedure="false">#REF!</definedName>
    <definedName function="false" hidden="false" localSheetId="18" name="subs_tn" vbProcedure="false">#REF!</definedName>
    <definedName function="false" hidden="false" localSheetId="18" name="subtitle_top" vbProcedure="false">#REF!</definedName>
    <definedName function="false" hidden="false" localSheetId="18" name="TChonsei" vbProcedure="false">#REF!</definedName>
    <definedName function="false" hidden="false" localSheetId="18" name="TDeposit" vbProcedure="false">#REF!</definedName>
    <definedName function="false" hidden="false" localSheetId="18" name="tempActiAmount" vbProcedure="false">#REF!</definedName>
    <definedName function="false" hidden="false" localSheetId="18" name="tem_val" vbProcedure="false">#REF!</definedName>
    <definedName function="false" hidden="false" localSheetId="18" name="TF" vbProcedure="false">#REF!</definedName>
    <definedName function="false" hidden="false" localSheetId="18" name="TodayUnit" vbProcedure="false">#REF!</definedName>
    <definedName function="false" hidden="true" localSheetId="18" name="todl" vbProcedure="false">#REF!</definedName>
    <definedName function="false" hidden="true" localSheetId="18" name="tofms" vbProcedure="false">#REF!</definedName>
    <definedName function="false" hidden="false" localSheetId="18" name="totrcd" vbProcedure="false">#REF!</definedName>
    <definedName function="false" hidden="true" localSheetId="18" name="tr" vbProcedure="false">#REF!</definedName>
    <definedName function="false" hidden="false" localSheetId="18" name="TRent" vbProcedure="false">#REF!</definedName>
    <definedName function="false" hidden="false" localSheetId="18" name="ttgj_blk" vbProcedure="false">#REF!</definedName>
    <definedName function="false" hidden="false" localSheetId="18" name="ttgj_top" vbProcedure="false">#REF!</definedName>
    <definedName function="false" hidden="false" localSheetId="18" name="TTT" vbProcedure="false">#REF!</definedName>
    <definedName function="false" hidden="false" localSheetId="18" name="unitcol" vbProcedure="false">#REF!</definedName>
    <definedName function="false" hidden="false" localSheetId="18" name="unit_top" vbProcedure="false">#REF!</definedName>
    <definedName function="false" hidden="false" localSheetId="18" name="used_xv" vbProcedure="false">#REF!</definedName>
    <definedName function="false" hidden="false" localSheetId="18" name="userzm" vbProcedure="false">#REF!</definedName>
    <definedName function="false" hidden="false" localSheetId="18" name="userzmcol" vbProcedure="false">#REF!</definedName>
    <definedName function="false" hidden="false" localSheetId="18" name="VVV" vbProcedure="false">#REF!</definedName>
    <definedName function="false" hidden="true" localSheetId="18" name="woogi" vbProcedure="false">#REF!</definedName>
    <definedName function="false" hidden="true" localSheetId="18" name="woogi2" vbProcedure="false">#REF!</definedName>
    <definedName function="false" hidden="false" localSheetId="18" name="WW" vbProcedure="false">#REF!</definedName>
    <definedName function="false" hidden="false" localSheetId="18" name="www" vbProcedure="false">blankmacro1</definedName>
    <definedName function="false" hidden="false" localSheetId="18" name="wwwww" vbProcedure="false">blankmacro1</definedName>
    <definedName function="false" hidden="false" localSheetId="18" name="wwwwww" vbProcedure="false">blankmacro1</definedName>
    <definedName function="false" hidden="false" localSheetId="18" name="wwwwwwww" vbProcedure="false">blankmacro1</definedName>
    <definedName function="false" hidden="false" localSheetId="18" name="wwwwwwwwww" vbProcedure="false">blankmacro1</definedName>
    <definedName function="false" hidden="false" localSheetId="18" name="wwwwwwwwwwwwww" vbProcedure="false">blankmacro1</definedName>
    <definedName function="false" hidden="false" localSheetId="18" name="wwwwwwwwwwwwwwwww" vbProcedure="false">blankmacro1</definedName>
    <definedName function="false" hidden="true" localSheetId="18" name="XCVBGSDFGSER" vbProcedure="false">#REF!</definedName>
    <definedName function="false" hidden="false" localSheetId="18" name="xxx" vbProcedure="false">#REF!</definedName>
    <definedName function="false" hidden="false" localSheetId="18" name="xy_cod_blk" vbProcedure="false">#REF!</definedName>
    <definedName function="false" hidden="false" localSheetId="18" name="YOUNG" vbProcedure="false">#REF!</definedName>
    <definedName function="false" hidden="false" localSheetId="18" name="y_errchk" vbProcedure="false">#REF!</definedName>
    <definedName function="false" hidden="false" localSheetId="18" name="zoomcolumn" vbProcedure="false">#REF!</definedName>
    <definedName function="false" hidden="false" localSheetId="18" name="zoomrate" vbProcedure="false">#REF!</definedName>
    <definedName function="false" hidden="false" localSheetId="18" name="\a" vbProcedure="false">#REF!</definedName>
    <definedName function="false" hidden="false" localSheetId="18" name="\c" vbProcedure="false">#REF!</definedName>
    <definedName function="false" hidden="false" localSheetId="18" name="\l" vbProcedure="false">#REF!</definedName>
    <definedName function="false" hidden="false" localSheetId="18" name="\m" vbProcedure="false">#REF!</definedName>
    <definedName function="false" hidden="false" localSheetId="18" name="\q" vbProcedure="false">#REF!</definedName>
    <definedName function="false" hidden="false" localSheetId="18" name="\x" vbProcedure="false">#REF!</definedName>
    <definedName function="false" hidden="false" localSheetId="18" name="\z" vbProcedure="false">#REF!</definedName>
    <definedName function="false" hidden="false" localSheetId="18" name="_05._위생설비공사" vbProcedure="false">#REF!</definedName>
    <definedName function="false" hidden="true" localSheetId="18" name="_28_0__123Grap" vbProcedure="false">#REF!</definedName>
    <definedName function="false" hidden="true" localSheetId="18" name="_30_0_Dist_" vbProcedure="false">#REF!</definedName>
    <definedName function="false" hidden="true" localSheetId="18" name="_Key11" vbProcedure="false">#REF!</definedName>
    <definedName function="false" hidden="true" localSheetId="18" name="_Key3" vbProcedure="false">#REF!</definedName>
    <definedName function="false" hidden="true" localSheetId="18" name="_kfkf" vbProcedure="false">#REF!</definedName>
    <definedName function="false" hidden="true" localSheetId="18" name="_Parse_In" vbProcedure="false">#REF!</definedName>
    <definedName function="false" hidden="false" localSheetId="18" name="_px1" vbProcedure="false">#REF!</definedName>
    <definedName function="false" hidden="false" localSheetId="18" name="_px2" vbProcedure="false">#REF!</definedName>
    <definedName function="false" hidden="true" localSheetId="18" name="_Regression_Out" vbProcedure="false">#REF!</definedName>
    <definedName function="false" hidden="true" localSheetId="18" name="_Regression_X" vbProcedure="false">#REF!</definedName>
    <definedName function="false" hidden="true" localSheetId="18" name="_Regression_Y" vbProcedure="false">#REF!</definedName>
    <definedName function="false" hidden="false" localSheetId="18" name="_stp1" vbProcedure="false">#REF!</definedName>
    <definedName function="false" hidden="false" localSheetId="18" name="_stp10" vbProcedure="false">#REF!</definedName>
    <definedName function="false" hidden="false" localSheetId="18" name="_stp11" vbProcedure="false">#REF!</definedName>
    <definedName function="false" hidden="false" localSheetId="18" name="_stp12" vbProcedure="false">#REF!</definedName>
    <definedName function="false" hidden="false" localSheetId="18" name="_stp13" vbProcedure="false">#REF!</definedName>
    <definedName function="false" hidden="false" localSheetId="18" name="_stp14" vbProcedure="false">#REF!</definedName>
    <definedName function="false" hidden="false" localSheetId="18" name="_stp15" vbProcedure="false">#REF!</definedName>
    <definedName function="false" hidden="false" localSheetId="18" name="_stp16" vbProcedure="false">#REF!</definedName>
    <definedName function="false" hidden="false" localSheetId="18" name="_stp17" vbProcedure="false">#REF!</definedName>
    <definedName function="false" hidden="false" localSheetId="18" name="_stp18" vbProcedure="false">#REF!</definedName>
    <definedName function="false" hidden="false" localSheetId="18" name="_stp19" vbProcedure="false">#REF!</definedName>
    <definedName function="false" hidden="false" localSheetId="18" name="_stp2" vbProcedure="false">#REF!</definedName>
    <definedName function="false" hidden="false" localSheetId="18" name="_stp20" vbProcedure="false">#REF!</definedName>
    <definedName function="false" hidden="false" localSheetId="18" name="_stp21" vbProcedure="false">#REF!</definedName>
    <definedName function="false" hidden="false" localSheetId="18" name="_stp22" vbProcedure="false">#REF!</definedName>
    <definedName function="false" hidden="false" localSheetId="18" name="_stp23" vbProcedure="false">#REF!</definedName>
    <definedName function="false" hidden="false" localSheetId="18" name="_stp24" vbProcedure="false">#REF!</definedName>
    <definedName function="false" hidden="false" localSheetId="18" name="_stp25" vbProcedure="false">#REF!</definedName>
    <definedName function="false" hidden="false" localSheetId="18" name="_stp26" vbProcedure="false">#REF!</definedName>
    <definedName function="false" hidden="false" localSheetId="18" name="_stp27" vbProcedure="false">#REF!</definedName>
    <definedName function="false" hidden="false" localSheetId="18" name="_stp28" vbProcedure="false">#REF!</definedName>
    <definedName function="false" hidden="false" localSheetId="18" name="_stp29" vbProcedure="false">#REF!</definedName>
    <definedName function="false" hidden="false" localSheetId="18" name="_stp3" vbProcedure="false">#REF!</definedName>
    <definedName function="false" hidden="false" localSheetId="18" name="_stp30" vbProcedure="false">#REF!</definedName>
    <definedName function="false" hidden="false" localSheetId="18" name="_stp31" vbProcedure="false">#REF!</definedName>
    <definedName function="false" hidden="false" localSheetId="18" name="_stp32" vbProcedure="false">#REF!</definedName>
    <definedName function="false" hidden="false" localSheetId="18" name="_stp33" vbProcedure="false">#REF!</definedName>
    <definedName function="false" hidden="false" localSheetId="18" name="_stp34" vbProcedure="false">#REF!</definedName>
    <definedName function="false" hidden="false" localSheetId="18" name="_stp35" vbProcedure="false">#REF!</definedName>
    <definedName function="false" hidden="false" localSheetId="18" name="_stp36" vbProcedure="false">#REF!</definedName>
    <definedName function="false" hidden="false" localSheetId="18" name="_stp37" vbProcedure="false">#REF!</definedName>
    <definedName function="false" hidden="false" localSheetId="18" name="_stp38" vbProcedure="false">#REF!</definedName>
    <definedName function="false" hidden="false" localSheetId="18" name="_stp39" vbProcedure="false">#REF!</definedName>
    <definedName function="false" hidden="false" localSheetId="18" name="_stp4" vbProcedure="false">#REF!</definedName>
    <definedName function="false" hidden="false" localSheetId="18" name="_stp40" vbProcedure="false">#REF!</definedName>
    <definedName function="false" hidden="false" localSheetId="18" name="_stp41" vbProcedure="false">#REF!</definedName>
    <definedName function="false" hidden="false" localSheetId="18" name="_stp42" vbProcedure="false">#REF!</definedName>
    <definedName function="false" hidden="false" localSheetId="18" name="_stp43" vbProcedure="false">#REF!</definedName>
    <definedName function="false" hidden="false" localSheetId="18" name="_stp44" vbProcedure="false">#REF!</definedName>
    <definedName function="false" hidden="false" localSheetId="18" name="_stp45" vbProcedure="false">#REF!</definedName>
    <definedName function="false" hidden="false" localSheetId="18" name="_stp46" vbProcedure="false">#REF!</definedName>
    <definedName function="false" hidden="false" localSheetId="18" name="_stp47" vbProcedure="false">#REF!</definedName>
    <definedName function="false" hidden="false" localSheetId="18" name="_stp48" vbProcedure="false">#REF!</definedName>
    <definedName function="false" hidden="false" localSheetId="18" name="_stp49" vbProcedure="false">#REF!</definedName>
    <definedName function="false" hidden="false" localSheetId="18" name="_stp5" vbProcedure="false">#REF!</definedName>
    <definedName function="false" hidden="false" localSheetId="18" name="_stp50" vbProcedure="false">#REF!</definedName>
    <definedName function="false" hidden="false" localSheetId="18" name="_stp51" vbProcedure="false">#REF!</definedName>
    <definedName function="false" hidden="false" localSheetId="18" name="_stp52" vbProcedure="false">#REF!</definedName>
    <definedName function="false" hidden="false" localSheetId="18" name="_stp53" vbProcedure="false">#REF!</definedName>
    <definedName function="false" hidden="false" localSheetId="18" name="_stp54" vbProcedure="false">#REF!</definedName>
    <definedName function="false" hidden="false" localSheetId="18" name="_stp55" vbProcedure="false">#REF!</definedName>
    <definedName function="false" hidden="false" localSheetId="18" name="_stp56" vbProcedure="false">#REF!</definedName>
    <definedName function="false" hidden="false" localSheetId="18" name="_stp57" vbProcedure="false">#REF!</definedName>
    <definedName function="false" hidden="false" localSheetId="18" name="_stp58" vbProcedure="false">#REF!</definedName>
    <definedName function="false" hidden="false" localSheetId="18" name="_stp59" vbProcedure="false">#REF!</definedName>
    <definedName function="false" hidden="false" localSheetId="18" name="_stp6" vbProcedure="false">#REF!</definedName>
    <definedName function="false" hidden="false" localSheetId="18" name="_stp60" vbProcedure="false">#REF!</definedName>
    <definedName function="false" hidden="false" localSheetId="18" name="_stp61" vbProcedure="false">#REF!</definedName>
    <definedName function="false" hidden="false" localSheetId="18" name="_stp62" vbProcedure="false">#REF!</definedName>
    <definedName function="false" hidden="false" localSheetId="18" name="_stp63" vbProcedure="false">#REF!</definedName>
    <definedName function="false" hidden="false" localSheetId="18" name="_stp64" vbProcedure="false">#REF!</definedName>
    <definedName function="false" hidden="false" localSheetId="18" name="_stp65" vbProcedure="false">#REF!</definedName>
    <definedName function="false" hidden="false" localSheetId="18" name="_stp66" vbProcedure="false">#REF!</definedName>
    <definedName function="false" hidden="false" localSheetId="18" name="_stp67" vbProcedure="false">#REF!</definedName>
    <definedName function="false" hidden="false" localSheetId="18" name="_stp68" vbProcedure="false">#REF!</definedName>
    <definedName function="false" hidden="false" localSheetId="18" name="_stp69" vbProcedure="false">#REF!</definedName>
    <definedName function="false" hidden="false" localSheetId="18" name="_stp7" vbProcedure="false">#REF!</definedName>
    <definedName function="false" hidden="false" localSheetId="18" name="_stp70" vbProcedure="false">#REF!</definedName>
    <definedName function="false" hidden="false" localSheetId="18" name="_stp71" vbProcedure="false">#REF!</definedName>
    <definedName function="false" hidden="false" localSheetId="18" name="_stp72" vbProcedure="false">#REF!</definedName>
    <definedName function="false" hidden="false" localSheetId="18" name="_stp73" vbProcedure="false">#REF!</definedName>
    <definedName function="false" hidden="false" localSheetId="18" name="_stp74" vbProcedure="false">#REF!</definedName>
    <definedName function="false" hidden="false" localSheetId="18" name="_stp75" vbProcedure="false">#REF!</definedName>
    <definedName function="false" hidden="false" localSheetId="18" name="_stp76" vbProcedure="false">#REF!</definedName>
    <definedName function="false" hidden="false" localSheetId="18" name="_stp77" vbProcedure="false">#REF!</definedName>
    <definedName function="false" hidden="false" localSheetId="18" name="_stp78" vbProcedure="false">#REF!</definedName>
    <definedName function="false" hidden="false" localSheetId="18" name="_stp79" vbProcedure="false">#REF!</definedName>
    <definedName function="false" hidden="false" localSheetId="18" name="_stp8" vbProcedure="false">#REF!</definedName>
    <definedName function="false" hidden="false" localSheetId="18" name="_stp80" vbProcedure="false">#REF!</definedName>
    <definedName function="false" hidden="false" localSheetId="18" name="_stp81" vbProcedure="false">#REF!</definedName>
    <definedName function="false" hidden="false" localSheetId="18" name="_stp82" vbProcedure="false">#REF!</definedName>
    <definedName function="false" hidden="false" localSheetId="18" name="_stp83" vbProcedure="false">#REF!</definedName>
    <definedName function="false" hidden="false" localSheetId="18" name="_stp84" vbProcedure="false">#REF!</definedName>
    <definedName function="false" hidden="false" localSheetId="18" name="_stp85" vbProcedure="false">#REF!</definedName>
    <definedName function="false" hidden="false" localSheetId="18" name="_stp86" vbProcedure="false">#REF!</definedName>
    <definedName function="false" hidden="false" localSheetId="18" name="_stp87" vbProcedure="false">#REF!</definedName>
    <definedName function="false" hidden="false" localSheetId="18" name="_stp88" vbProcedure="false">#REF!</definedName>
    <definedName function="false" hidden="false" localSheetId="18" name="_stp89" vbProcedure="false">#REF!</definedName>
    <definedName function="false" hidden="false" localSheetId="18" name="_stp9" vbProcedure="false">#REF!</definedName>
    <definedName function="false" hidden="false" localSheetId="18" name="_stp90" vbProcedure="false">#REF!</definedName>
    <definedName function="false" hidden="false" localSheetId="18" name="_stp91" vbProcedure="false">#REF!</definedName>
    <definedName function="false" hidden="false" localSheetId="18" name="_stp92" vbProcedure="false">#REF!</definedName>
    <definedName function="false" hidden="false" localSheetId="18" name="_stp93" vbProcedure="false">#REF!</definedName>
    <definedName function="false" hidden="false" localSheetId="18" name="_stp94" vbProcedure="false">#REF!</definedName>
    <definedName function="false" hidden="false" localSheetId="18" name="_stp95" vbProcedure="false">#REF!</definedName>
    <definedName function="false" hidden="false" localSheetId="18" name="_stp96" vbProcedure="false">#REF!</definedName>
    <definedName function="false" hidden="false" localSheetId="18" name="_stp97" vbProcedure="false">#REF!</definedName>
    <definedName function="false" hidden="false" localSheetId="18" name="_stp98" vbProcedure="false">#REF!</definedName>
    <definedName function="false" hidden="false" localSheetId="18" name="_stp99" vbProcedure="false">#REF!</definedName>
    <definedName function="false" hidden="true" localSheetId="18" name="_Table1_In1" vbProcedure="false">#REF!</definedName>
    <definedName function="false" hidden="true" localSheetId="18" name="_Table1_Out" vbProcedure="false">#REF!</definedName>
    <definedName function="false" hidden="true" localSheetId="18" name="_woogi" vbProcedure="false">#REF!</definedName>
    <definedName function="false" hidden="true" localSheetId="18" name="_woogi2" vbProcedure="false">#REF!</definedName>
    <definedName function="false" hidden="true" localSheetId="18" name="_woogi24" vbProcedure="false">#REF!</definedName>
    <definedName function="false" hidden="true" localSheetId="18" name="_woogi3" vbProcedure="false">#REF!</definedName>
    <definedName function="false" hidden="false" localSheetId="18" name="_xlnm.Database" vbProcedure="false">#REF!</definedName>
    <definedName function="false" hidden="true" localSheetId="18" name="__123Graph_A" vbProcedure="false">#REF!</definedName>
    <definedName function="false" hidden="true" localSheetId="18" name="__Key11" vbProcedure="false">#REF!</definedName>
    <definedName function="false" hidden="true" localSheetId="18" name="_재ㅐ햐" vbProcedure="false">#REF!</definedName>
    <definedName function="false" hidden="false" localSheetId="18" name="ㄱ" vbProcedure="false">#REF!</definedName>
    <definedName function="false" hidden="true" localSheetId="18" name="ㄱㅈㅎ" vbProcedure="false">#REF!</definedName>
    <definedName function="false" hidden="false" localSheetId="18" name="ㄴ" vbProcedure="false">#REF!</definedName>
    <definedName function="false" hidden="true" localSheetId="18" name="ㄴㄱㄹ" vbProcedure="false">#REF!</definedName>
    <definedName function="false" hidden="true" localSheetId="18" name="ㄴㄴㄴ" vbProcedure="false">#REF!</definedName>
    <definedName function="false" hidden="true" localSheetId="18" name="ㄴㄴㄴㄴ" vbProcedure="false">#REF!</definedName>
    <definedName function="false" hidden="true" localSheetId="18" name="ㄴㄴㄴㄴㄴ" vbProcedure="false">#REF!</definedName>
    <definedName function="false" hidden="true" localSheetId="18" name="ㄴㅁㄴㅇㄹ" vbProcedure="false">#REF!</definedName>
    <definedName function="false" hidden="true" localSheetId="18" name="ㄴㅁㄹㅈㄹ" vbProcedure="false">#REF!</definedName>
    <definedName function="false" hidden="false" localSheetId="18" name="ㄴㅇ" vbProcedure="false">dlog_show</definedName>
    <definedName function="false" hidden="true" localSheetId="18" name="ㄴㅇㄹㄷ" vbProcedure="false">#REF!</definedName>
    <definedName function="false" hidden="true" localSheetId="18" name="ㄴㅇㄻ" vbProcedure="false">#REF!</definedName>
    <definedName function="false" hidden="false" localSheetId="18" name="ㄵㄷ" vbProcedure="false">dlog_show</definedName>
    <definedName function="false" hidden="false" localSheetId="18" name="ㄷ" vbProcedure="false">#REF!</definedName>
    <definedName function="false" hidden="true" localSheetId="18" name="ㄷㄷ" vbProcedure="false">#REF!</definedName>
    <definedName function="false" hidden="false" localSheetId="18" name="ㄷㄹ1" vbProcedure="false">#REF!</definedName>
    <definedName function="false" hidden="true" localSheetId="18" name="ㄷㅎㄹㅇ" vbProcedure="false">#REF!</definedName>
    <definedName function="false" hidden="false" localSheetId="18" name="ㄹ" vbProcedure="false">#REF!</definedName>
    <definedName function="false" hidden="true" localSheetId="18" name="ㄹㄴ" vbProcedure="false">#REF!</definedName>
    <definedName function="false" hidden="true" localSheetId="18" name="ㄹㄹㄹ" vbProcedure="false">#REF!</definedName>
    <definedName function="false" hidden="false" localSheetId="18" name="ㄹㅇㄴㄹㅇㄹㄴㄹㅇㄹㅇㄹㅇㄴ" vbProcedure="false">blankmacro1</definedName>
    <definedName function="false" hidden="true" localSheetId="18" name="ㄹ호" vbProcedure="false">#REF!</definedName>
    <definedName function="false" hidden="false" localSheetId="18" name="ㅁ" vbProcedure="false">#REF!</definedName>
    <definedName function="false" hidden="false" localSheetId="18" name="ㅁ203" vbProcedure="false">#REF!</definedName>
    <definedName function="false" hidden="false" localSheetId="18" name="ㅁ2423" vbProcedure="false">#REF!</definedName>
    <definedName function="false" hidden="false" localSheetId="18" name="ㅁ426" vbProcedure="false">#REF!</definedName>
    <definedName function="false" hidden="false" localSheetId="18" name="ㅁ624" vbProcedure="false">#REF!</definedName>
    <definedName function="false" hidden="false" localSheetId="18" name="ㅁ786" vbProcedure="false">#REF!</definedName>
    <definedName function="false" hidden="true" localSheetId="18" name="ㅁㄴㅇㄻㄴㅇㄹㄴ" vbProcedure="false">#REF!</definedName>
    <definedName function="false" hidden="true" localSheetId="18" name="ㅁㄴㅇ류" vbProcedure="false">#REF!</definedName>
    <definedName function="false" hidden="true" localSheetId="18" name="ㅁㄴㅊㅍㅁㅌㅊ펌ㄴㅇㄹ" vbProcedure="false">#REF!</definedName>
    <definedName function="false" hidden="true" localSheetId="18" name="ㅁㄻㄴㅇㄹㄴㅇㄹㄴ" vbProcedure="false">#REF!</definedName>
    <definedName function="false" hidden="true" localSheetId="18" name="ㅁㅁㅁㅁㅁㅁ" vbProcedure="false">#REF!</definedName>
    <definedName function="false" hidden="true" localSheetId="18" name="ㅁㅈㄷㅅㅂㄱ흎ㅊ퓨" vbProcedure="false">#REF!</definedName>
    <definedName function="false" hidden="true" localSheetId="18" name="ㅁㅊㅇㅍㅁㄴㅇㄻㄴㅇㄹ" vbProcedure="false">#REF!</definedName>
    <definedName function="false" hidden="true" localSheetId="18" name="ㅁ인ㅍㅁ닟ㅍㅁㄴㅇㄹ" vbProcedure="false">#REF!</definedName>
    <definedName function="false" hidden="true" localSheetId="18" name="ㅁ읾ㄴㅇㄻ" vbProcedure="false">#REF!</definedName>
    <definedName function="false" hidden="false" localSheetId="18" name="ㅂ" vbProcedure="false">#REF!</definedName>
    <definedName function="false" hidden="false" localSheetId="18" name="ㅂㅂㅂㅂㅂ" vbProcedure="false">blankmacro1</definedName>
    <definedName function="false" hidden="true" localSheetId="18" name="ㅅ" vbProcedure="false">#REF!</definedName>
    <definedName function="false" hidden="false" localSheetId="18" name="ㅇ01" vbProcedure="false">#REF!</definedName>
    <definedName function="false" hidden="false" localSheetId="18" name="ㅇㄱ1" vbProcedure="false">#REF!</definedName>
    <definedName function="false" hidden="false" localSheetId="18" name="ㅇㄴㅁㅇㄴ" vbProcedure="false">blankmacro1</definedName>
    <definedName function="false" hidden="false" localSheetId="18" name="ㅇㄴㅇㄴㅇ" vbProcedure="false">blankmacro1</definedName>
    <definedName function="false" hidden="true" localSheetId="18" name="ㅇㄹ" vbProcedure="false">#REF!</definedName>
    <definedName function="false" hidden="true" localSheetId="18" name="ㅇㄹㄹ" vbProcedure="false">#REF!</definedName>
    <definedName function="false" hidden="true" localSheetId="18" name="ㅇㄹㅇㄹ" vbProcedure="false">#REF!</definedName>
    <definedName function="false" hidden="true" localSheetId="18" name="ㅇㄻㄴㅇㄻㄴㅇㄹ" vbProcedure="false">#REF!</definedName>
    <definedName function="false" hidden="true" localSheetId="18" name="ㅇㅇㄹ" vbProcedure="false">#REF!</definedName>
    <definedName function="false" hidden="true" localSheetId="18" name="ㅇㅇㅇ" vbProcedure="false">#REF!</definedName>
    <definedName function="false" hidden="true" localSheetId="18" name="ㅇㅈㄷㅄㅂㅈㄷㄱ" vbProcedure="false">#REF!</definedName>
    <definedName function="false" hidden="true" localSheetId="18" name="ㅈㄷㄻㅇㄹ" vbProcedure="false">#REF!</definedName>
    <definedName function="false" hidden="true" localSheetId="18" name="ㅈㄷㄻㅈ" vbProcedure="false">#REF!</definedName>
    <definedName function="false" hidden="false" localSheetId="18" name="ㅊ3030" vbProcedure="false">#REF!</definedName>
    <definedName function="false" hidden="true" localSheetId="18" name="ㅊㅍ" vbProcedure="false">#REF!</definedName>
    <definedName function="false" hidden="true" localSheetId="18" name="ㅍㄴㅇㄹ" vbProcedure="false">#REF!</definedName>
    <definedName function="false" hidden="false" localSheetId="18" name="ㅎ1" vbProcedure="false">#REF!</definedName>
    <definedName function="false" hidden="false" localSheetId="18" name="ㅔ갸ㅜㅅ_샤싣ㄴ" vbProcedure="false">#REF!</definedName>
    <definedName function="false" hidden="true" localSheetId="18" name="ㅠ뮤ㅐ" vbProcedure="false">#REF!</definedName>
    <definedName function="false" hidden="false" localSheetId="18" name="가" vbProcedure="false">#REF!</definedName>
    <definedName function="false" hidden="false" localSheetId="18" name="가설" vbProcedure="false">#REF!</definedName>
    <definedName function="false" hidden="false" localSheetId="18" name="갑지" vbProcedure="false">blankmacro1</definedName>
    <definedName function="false" hidden="false" localSheetId="18" name="강수지" vbProcedure="false">blankmacro1</definedName>
    <definedName function="false" hidden="true" localSheetId="18" name="개거" vbProcedure="false">#REF!</definedName>
    <definedName function="false" hidden="false" localSheetId="18" name="거래" vbProcedure="false">blankmacro1</definedName>
    <definedName function="false" hidden="false" localSheetId="18" name="건축내역" vbProcedure="false">blankmacro1</definedName>
    <definedName function="false" hidden="false" localSheetId="18" name="견적1" vbProcedure="false">dlog_show</definedName>
    <definedName function="false" hidden="false" localSheetId="18" name="견적서" vbProcedure="false">#REF!</definedName>
    <definedName function="false" hidden="false" localSheetId="18" name="견적서1" vbProcedure="false">#REF!</definedName>
    <definedName function="false" hidden="false" localSheetId="18" name="견적서2" vbProcedure="false">#REF!</definedName>
    <definedName function="false" hidden="false" localSheetId="18" name="견적서3" vbProcedure="false">#REF!</definedName>
    <definedName function="false" hidden="false" localSheetId="18" name="견적서4" vbProcedure="false">#REF!</definedName>
    <definedName function="false" hidden="false" localSheetId="18" name="견적서5" vbProcedure="false">#REF!</definedName>
    <definedName function="false" hidden="false" localSheetId="18" name="견적서6" vbProcedure="false">#REF!</definedName>
    <definedName function="false" hidden="false" localSheetId="18" name="견적토목" vbProcedure="false">#REF!</definedName>
    <definedName function="false" hidden="false" localSheetId="18" name="경순" vbProcedure="false">blankmacro1</definedName>
    <definedName function="false" hidden="false" localSheetId="18" name="계산" vbProcedure="false">#REF!</definedName>
    <definedName function="false" hidden="true" localSheetId="18" name="계전2" vbProcedure="false">#REF!</definedName>
    <definedName function="false" hidden="true" localSheetId="18" name="고기" vbProcedure="false">#REF!</definedName>
    <definedName function="false" hidden="false" localSheetId="18" name="공" vbProcedure="false">blankmacro1</definedName>
    <definedName function="false" hidden="false" localSheetId="18" name="공사원가" vbProcedure="false">#REF!</definedName>
    <definedName function="false" hidden="false" localSheetId="18" name="공산" vbProcedure="false">#REF!</definedName>
    <definedName function="false" hidden="false" localSheetId="18" name="공산품" vbProcedure="false">#REF!</definedName>
    <definedName function="false" hidden="false" localSheetId="18" name="관급" vbProcedure="false">#REF!,#REF!,#REF!</definedName>
    <definedName function="false" hidden="false" localSheetId="18" name="광산" vbProcedure="false">#REF!</definedName>
    <definedName function="false" hidden="false" localSheetId="18" name="광산품" vbProcedure="false">#REF!</definedName>
    <definedName function="false" hidden="true" localSheetId="18" name="교통" vbProcedure="false">#REF!</definedName>
    <definedName function="false" hidden="false" localSheetId="18" name="구분" vbProcedure="false">blankmacro1</definedName>
    <definedName function="false" hidden="false" localSheetId="18" name="구분1" vbProcedure="false">blankmacro1</definedName>
    <definedName function="false" hidden="false" localSheetId="18" name="국내장비" vbProcedure="false">#REF!</definedName>
    <definedName function="false" hidden="false" localSheetId="18" name="국내장비계" vbProcedure="false">#REF!</definedName>
    <definedName function="false" hidden="false" localSheetId="18" name="규격11" vbProcedure="false">#REF!</definedName>
    <definedName function="false" hidden="false" localSheetId="18" name="기" vbProcedure="false">#REF!</definedName>
    <definedName function="false" hidden="false" localSheetId="18" name="기계3" vbProcedure="false">blankmacro1</definedName>
    <definedName function="false" hidden="false" localSheetId="18" name="기계4" vbProcedure="false">blankmacro1</definedName>
    <definedName function="false" hidden="true" localSheetId="18" name="기성갑" vbProcedure="false">#REF!</definedName>
    <definedName function="false" hidden="false" localSheetId="18" name="기초" vbProcedure="false">#REF!</definedName>
    <definedName function="false" hidden="false" localSheetId="18" name="김" vbProcedure="false">blankmacro1</definedName>
    <definedName function="false" hidden="false" localSheetId="18" name="김진성1" vbProcedure="false">blankmacro1</definedName>
    <definedName function="false" hidden="false" localSheetId="18" name="나" vbProcedure="false">#REF!</definedName>
    <definedName function="false" hidden="false" localSheetId="18" name="나무" vbProcedure="false">#REF!</definedName>
    <definedName function="false" hidden="true" localSheetId="18" name="남남" vbProcedure="false">#REF!</definedName>
    <definedName function="false" hidden="false" localSheetId="18" name="남덕" vbProcedure="false">blankmacro1</definedName>
    <definedName function="false" hidden="false" localSheetId="18" name="남덕1" vbProcedure="false">blankmacro1</definedName>
    <definedName function="false" hidden="false" localSheetId="18" name="내역서" vbProcedure="false">#REF!</definedName>
    <definedName function="false" hidden="false" localSheetId="18" name="내용" vbProcedure="false">blankmacro1</definedName>
    <definedName function="false" hidden="true" localSheetId="18" name="녭" vbProcedure="false">#REF!</definedName>
    <definedName function="false" hidden="true" localSheetId="18" name="노니" vbProcedure="false">#REF!</definedName>
    <definedName function="false" hidden="false" localSheetId="18" name="노무" vbProcedure="false">#REF!</definedName>
    <definedName function="false" hidden="false" localSheetId="18" name="노임" vbProcedure="false">#REF!</definedName>
    <definedName function="false" hidden="false" localSheetId="18" name="노임1" vbProcedure="false">blankmacro1</definedName>
    <definedName function="false" hidden="false" localSheetId="18" name="노임2" vbProcedure="false">blankmacro1</definedName>
    <definedName function="false" hidden="false" localSheetId="18" name="농림" vbProcedure="false">#REF!</definedName>
    <definedName function="false" hidden="false" localSheetId="18" name="니" vbProcedure="false">#REF!</definedName>
    <definedName function="false" hidden="false" localSheetId="18" name="다" vbProcedure="false">#REF!</definedName>
    <definedName function="false" hidden="false" localSheetId="18" name="단가" vbProcedure="false">#REF!</definedName>
    <definedName function="false" hidden="false" localSheetId="18" name="단가비교표" vbProcedure="false">#REF!,#REF!</definedName>
    <definedName function="false" hidden="false" localSheetId="18" name="단가비교표1" vbProcedure="false">#REF!,#REF!</definedName>
    <definedName function="false" hidden="true" localSheetId="18" name="대기" vbProcedure="false">#REF!</definedName>
    <definedName function="false" hidden="true" localSheetId="18" name="대한" vbProcedure="false">#REF!</definedName>
    <definedName function="false" hidden="false" localSheetId="18" name="디" vbProcedure="false">#REF!</definedName>
    <definedName function="false" hidden="true" localSheetId="18" name="디디" vbProcedure="false">#REF!</definedName>
    <definedName function="false" hidden="false" localSheetId="18" name="라" vbProcedure="false">#REF!</definedName>
    <definedName function="false" hidden="false" localSheetId="18" name="라라" vbProcedure="false">blankmacro1</definedName>
    <definedName function="false" hidden="true" localSheetId="18" name="롸" vbProcedure="false">#REF!</definedName>
    <definedName function="false" hidden="true" localSheetId="18" name="뢰" vbProcedure="false">#REF!</definedName>
    <definedName function="false" hidden="true" localSheetId="18" name="루사" vbProcedure="false">#REF!</definedName>
    <definedName function="false" hidden="true" localSheetId="18" name="를" vbProcedure="false">#REF!</definedName>
    <definedName function="false" hidden="false" localSheetId="18" name="리" vbProcedure="false">#REF!</definedName>
    <definedName function="false" hidden="false" localSheetId="18" name="리스트" vbProcedure="false">#REF!</definedName>
    <definedName function="false" hidden="false" localSheetId="18" name="마" vbProcedure="false">#REF!</definedName>
    <definedName function="false" hidden="false" localSheetId="18" name="마감" vbProcedure="false">#REF!</definedName>
    <definedName function="false" hidden="false" localSheetId="18" name="마감표" vbProcedure="false">#REF!</definedName>
    <definedName function="false" hidden="false" localSheetId="18" name="말" vbProcedure="false">blankmacro1</definedName>
    <definedName function="false" hidden="true" localSheetId="18" name="매" vbProcedure="false">#REF!</definedName>
    <definedName function="false" hidden="false" localSheetId="18" name="머야ㅕ" vbProcedure="false">blankmacro1</definedName>
    <definedName function="false" hidden="true" localSheetId="18" name="미이" vbProcedure="false">#REF!</definedName>
    <definedName function="false" hidden="false" localSheetId="18" name="바" vbProcedure="false">#REF!</definedName>
    <definedName function="false" hidden="false" localSheetId="18" name="바탕원본표1" vbProcedure="false">#REF!</definedName>
    <definedName function="false" hidden="false" localSheetId="18" name="박은하" vbProcedure="false">dlog_show</definedName>
    <definedName function="false" hidden="false" localSheetId="18" name="방송" vbProcedure="false">blankmacro1</definedName>
    <definedName function="false" hidden="false" localSheetId="18" name="보" vbProcedure="false">#REF!</definedName>
    <definedName function="false" hidden="false" localSheetId="18" name="보일러" vbProcedure="false">blankmacro1</definedName>
    <definedName function="false" hidden="false" localSheetId="18" name="보조기층부설" vbProcedure="false">#REF!</definedName>
    <definedName function="false" hidden="true" localSheetId="18" name="복지" vbProcedure="false">#REF!</definedName>
    <definedName function="false" hidden="true" localSheetId="18" name="부대공사" vbProcedure="false">#REF!</definedName>
    <definedName function="false" hidden="false" localSheetId="18" name="부대입찰잡비" vbProcedure="false">dlog_show</definedName>
    <definedName function="false" hidden="false" localSheetId="18" name="부토" vbProcedure="false">dlog_show</definedName>
    <definedName function="false" hidden="false" localSheetId="18" name="분전반" vbProcedure="false">blankmacro1</definedName>
    <definedName function="false" hidden="true" localSheetId="18" name="비겁" vbProcedure="false">#REF!</definedName>
    <definedName function="false" hidden="false" localSheetId="18" name="비목군분류표" vbProcedure="false">#REF!</definedName>
    <definedName function="false" hidden="false" localSheetId="18" name="사" vbProcedure="false">#REF!</definedName>
    <definedName function="false" hidden="true" localSheetId="18" name="사타" vbProcedure="false">#REF!</definedName>
    <definedName function="false" hidden="false" localSheetId="18" name="산" vbProcedure="false">blankmacro1</definedName>
    <definedName function="false" hidden="true" localSheetId="18" name="산서" vbProcedure="false">#REF!</definedName>
    <definedName function="false" hidden="false" localSheetId="18" name="산재" vbProcedure="false">#REF!</definedName>
    <definedName function="false" hidden="false" localSheetId="18" name="산출근거" vbProcedure="false">blankmacro1</definedName>
    <definedName function="false" hidden="false" localSheetId="18" name="산출내역" vbProcedure="false">#REF!</definedName>
    <definedName function="false" hidden="false" localSheetId="18" name="산출내역집계표" vbProcedure="false">#REF!</definedName>
    <definedName function="false" hidden="false" localSheetId="18" name="산출냐역" vbProcedure="false">#REF!</definedName>
    <definedName function="false" hidden="true" localSheetId="18" name="상대" vbProcedure="false">#REF!</definedName>
    <definedName function="false" hidden="true" localSheetId="18" name="새이" vbProcedure="false">#REF!</definedName>
    <definedName function="false" hidden="false" localSheetId="18" name="설" vbProcedure="false">#REF!</definedName>
    <definedName function="false" hidden="true" localSheetId="18" name="설계설명" vbProcedure="false">#REF!</definedName>
    <definedName function="false" hidden="false" localSheetId="18" name="설계속도" vbProcedure="false">#REF!</definedName>
    <definedName function="false" hidden="false" localSheetId="18" name="소방내역" vbProcedure="false">blankmacro1</definedName>
    <definedName function="false" hidden="false" localSheetId="18" name="소방내역서" vbProcedure="false">blankmacro1</definedName>
    <definedName function="false" hidden="false" localSheetId="18" name="소일위대가1" vbProcedure="false">#REF!</definedName>
    <definedName function="false" hidden="false" localSheetId="18" name="수량산출" vbProcedure="false">blankmacro1</definedName>
    <definedName function="false" hidden="false" localSheetId="18" name="수량산출2" vbProcedure="false">blankmacro1</definedName>
    <definedName function="false" hidden="false" localSheetId="18" name="수량산출5" vbProcedure="false">blankmacro1</definedName>
    <definedName function="false" hidden="false" localSheetId="18" name="수량산출서표지" vbProcedure="false">blankmacro1</definedName>
    <definedName function="false" hidden="false" localSheetId="18" name="수목" vbProcedure="false">#REF!</definedName>
    <definedName function="false" hidden="false" localSheetId="18" name="수입장비" vbProcedure="false">#REF!</definedName>
    <definedName function="false" hidden="false" localSheetId="18" name="수입장비계" vbProcedure="false">#REF!</definedName>
    <definedName function="false" hidden="false" localSheetId="18" name="시점" vbProcedure="false">#REF!</definedName>
    <definedName function="false" hidden="false" localSheetId="18" name="시점명" vbProcedure="false">#REF!</definedName>
    <definedName function="false" hidden="false" localSheetId="18" name="식재" vbProcedure="false">#REF!</definedName>
    <definedName function="false" hidden="false" localSheetId="18" name="아" vbProcedure="false">#REF!</definedName>
    <definedName function="false" hidden="false" localSheetId="18" name="아늘믿" vbProcedure="false">blankmacro1</definedName>
    <definedName function="false" hidden="false" localSheetId="18" name="아니" vbProcedure="false">blankmacro1</definedName>
    <definedName function="false" hidden="true" localSheetId="18" name="아니오" vbProcedure="false">#REF!</definedName>
    <definedName function="false" hidden="false" localSheetId="18" name="아다" vbProcedure="false">blankmacro1</definedName>
    <definedName function="false" hidden="false" localSheetId="18" name="아디" vbProcedure="false">blankmacro1</definedName>
    <definedName function="false" hidden="false" localSheetId="18" name="아서" vbProcedure="false">blankmacro1</definedName>
    <definedName function="false" hidden="false" localSheetId="18" name="아스팔트" vbProcedure="false">#REF!</definedName>
    <definedName function="false" hidden="true" localSheetId="18" name="아아" vbProcedure="false">#REF!</definedName>
    <definedName function="false" hidden="false" localSheetId="18" name="아우" vbProcedure="false">#REF!</definedName>
    <definedName function="false" hidden="false" localSheetId="18" name="아이시밮" vbProcedure="false">dlog_show</definedName>
    <definedName function="false" hidden="false" localSheetId="18" name="안이사님" vbProcedure="false">blankmacro1</definedName>
    <definedName function="false" hidden="true" localSheetId="18" name="애" vbProcedure="false">#REF!</definedName>
    <definedName function="false" hidden="false" localSheetId="18" name="앵커볼트" vbProcedure="false">#REF!</definedName>
    <definedName function="false" hidden="true" localSheetId="18" name="어름" vbProcedure="false">#REF!</definedName>
    <definedName function="false" hidden="false" localSheetId="18" name="어멈" vbProcedure="false">blankmacro1</definedName>
    <definedName function="false" hidden="false" localSheetId="18" name="어쩌라구" vbProcedure="false">blankmacro1</definedName>
    <definedName function="false" hidden="true" localSheetId="18" name="업체" vbProcedure="false">#REF!</definedName>
    <definedName function="false" hidden="false" localSheetId="18" name="엊" vbProcedure="false">blankmacro1</definedName>
    <definedName function="false" hidden="true" localSheetId="18" name="예산서1" vbProcedure="false">#REF!</definedName>
    <definedName function="false" hidden="false" localSheetId="18" name="오라1" vbProcedure="false">#REF!</definedName>
    <definedName function="false" hidden="false" localSheetId="18" name="우출" vbProcedure="false">blankmacro1</definedName>
    <definedName function="false" hidden="false" localSheetId="18" name="원가" vbProcedure="false">#REF!</definedName>
    <definedName function="false" hidden="false" localSheetId="18" name="원가계산서" vbProcedure="false">#REF!</definedName>
    <definedName function="false" hidden="false" localSheetId="18" name="원지반다짐" vbProcedure="false">#REF!</definedName>
    <definedName function="false" hidden="true" localSheetId="18" name="으치" vbProcedure="false">#REF!</definedName>
    <definedName function="false" hidden="true" localSheetId="18" name="이릉" vbProcedure="false">#REF!</definedName>
    <definedName function="false" hidden="true" localSheetId="18" name="이미리" vbProcedure="false">#REF!</definedName>
    <definedName function="false" hidden="false" localSheetId="18" name="이식" vbProcedure="false">#REF!</definedName>
    <definedName function="false" hidden="false" localSheetId="18" name="인상익" vbProcedure="false">blankmacro1</definedName>
    <definedName function="false" hidden="false" localSheetId="18" name="일위" vbProcedure="false">#REF!,#REF!</definedName>
    <definedName function="false" hidden="true" localSheetId="18" name="임직" vbProcedure="false">#REF!</definedName>
    <definedName function="false" hidden="false" localSheetId="18" name="자" vbProcedure="false">blankmacro1</definedName>
    <definedName function="false" hidden="false" localSheetId="18" name="자동제어1차공량산출" vbProcedure="false">blankmacro1</definedName>
    <definedName function="false" hidden="false" localSheetId="18" name="자장" vbProcedure="false">blankmacro1</definedName>
    <definedName function="false" hidden="true" localSheetId="18" name="자재단가근거" vbProcedure="false">#REF!</definedName>
    <definedName function="false" hidden="false" localSheetId="18" name="자재집계5" vbProcedure="false">blankmacro1</definedName>
    <definedName function="false" hidden="false" localSheetId="18" name="장" vbProcedure="false">blankmacro1</definedName>
    <definedName function="false" hidden="false" localSheetId="18" name="재료마감표" vbProcedure="false">#REF!</definedName>
    <definedName function="false" hidden="false" localSheetId="18" name="적용대가산출표" vbProcedure="false">#REF!</definedName>
    <definedName function="false" hidden="false" localSheetId="18" name="전력" vbProcedure="false">#REF!</definedName>
    <definedName function="false" hidden="true" localSheetId="18" name="전선관및접지내역서" vbProcedure="false">#REF!</definedName>
    <definedName function="false" hidden="false" localSheetId="18" name="정" vbProcedure="false">blankmacro1</definedName>
    <definedName function="false" hidden="true" localSheetId="18" name="제수문" vbProcedure="false">#REF!</definedName>
    <definedName function="false" hidden="true" localSheetId="18" name="조찬" vbProcedure="false">#REF!</definedName>
    <definedName function="false" hidden="false" localSheetId="18" name="종목수" vbProcedure="false">#REF!</definedName>
    <definedName function="false" hidden="true" localSheetId="18" name="증감내역" vbProcedure="false">#REF!</definedName>
    <definedName function="false" hidden="false" localSheetId="18" name="지" vbProcedure="false">#REF!</definedName>
    <definedName function="false" hidden="false" localSheetId="18" name="진" vbProcedure="false">#REF!</definedName>
    <definedName function="false" hidden="false" localSheetId="18" name="집계" vbProcedure="false">#REF!</definedName>
    <definedName function="false" hidden="false" localSheetId="18" name="집계표" vbProcedure="false">#REF!</definedName>
    <definedName function="false" hidden="true" localSheetId="18" name="집수" vbProcedure="false">#REF!</definedName>
    <definedName function="false" hidden="false" localSheetId="18" name="차" vbProcedure="false">blankmacro1</definedName>
    <definedName function="false" hidden="true" localSheetId="18" name="찰샇기" vbProcedure="false">#REF!</definedName>
    <definedName function="false" hidden="false" localSheetId="18" name="참조" vbProcedure="false">#REF!</definedName>
    <definedName function="false" hidden="true" localSheetId="18" name="최종추가합" vbProcedure="false">#REF!</definedName>
    <definedName function="false" hidden="true" localSheetId="18" name="추초" vbProcedure="false">#REF!</definedName>
    <definedName function="false" hidden="true" localSheetId="18" name="충동" vbProcedure="false">#REF!</definedName>
    <definedName function="false" hidden="false" localSheetId="18" name="취소" vbProcedure="false">blankmacro1</definedName>
    <definedName function="false" hidden="true" localSheetId="18" name="취입" vbProcedure="false">#REF!</definedName>
    <definedName function="false" hidden="true" localSheetId="18" name="칠성" vbProcedure="false">#REF!</definedName>
    <definedName function="false" hidden="false" localSheetId="18" name="콘크리트" vbProcedure="false">#REF!</definedName>
    <definedName function="false" hidden="true" localSheetId="18" name="콘크리트2" vbProcedure="false">#REF!</definedName>
    <definedName function="false" hidden="false" localSheetId="18" name="템플리트모듈1" vbProcedure="false">blankmacro1</definedName>
    <definedName function="false" hidden="false" localSheetId="18" name="템플리트모듈2" vbProcedure="false">blankmacro1</definedName>
    <definedName function="false" hidden="false" localSheetId="18" name="템플리트모듈3" vbProcedure="false">blankmacro1</definedName>
    <definedName function="false" hidden="false" localSheetId="18" name="템플리트모듈4" vbProcedure="false">blankmacro1</definedName>
    <definedName function="false" hidden="false" localSheetId="18" name="템플리트모듈5" vbProcedure="false">blankmacro1</definedName>
    <definedName function="false" hidden="false" localSheetId="18" name="템플리트모듈6" vbProcedure="false">blankmacro1</definedName>
    <definedName function="false" hidden="false" localSheetId="18" name="토공품목" vbProcedure="false">#REF!</definedName>
    <definedName function="false" hidden="false" localSheetId="18" name="통신집계" vbProcedure="false">blankmacro1</definedName>
    <definedName function="false" hidden="true" localSheetId="18" name="파일" vbProcedure="false">#REF!</definedName>
    <definedName function="false" hidden="true" localSheetId="18" name="팔" vbProcedure="false">#REF!</definedName>
    <definedName function="false" hidden="true" localSheetId="18" name="페기갑지" vbProcedure="false">#REF!</definedName>
    <definedName function="false" hidden="true" localSheetId="18" name="폐기" vbProcedure="false">#REF!</definedName>
    <definedName function="false" hidden="true" localSheetId="18" name="폐기갑지용" vbProcedure="false">#REF!</definedName>
    <definedName function="false" hidden="false" localSheetId="18" name="포장공" vbProcedure="false">blankmacro1</definedName>
    <definedName function="false" hidden="false" localSheetId="18" name="포장공1" vbProcedure="false">blankmacro1</definedName>
    <definedName function="false" hidden="true" localSheetId="18" name="표지2" vbProcedure="false">#REF!</definedName>
    <definedName function="false" hidden="false" localSheetId="18" name="품목" vbProcedure="false">#REF!</definedName>
    <definedName function="false" hidden="false" localSheetId="18" name="품목표" vbProcedure="false">#REF!</definedName>
    <definedName function="false" hidden="false" localSheetId="18" name="품위내역서" vbProcedure="false">blankmacro1</definedName>
    <definedName function="false" hidden="false" localSheetId="18" name="하도급1" vbProcedure="false">#REF!</definedName>
    <definedName function="false" hidden="false" localSheetId="18" name="하도급2" vbProcedure="false">#REF!</definedName>
    <definedName function="false" hidden="false" localSheetId="18" name="하도급3" vbProcedure="false">#REF!</definedName>
    <definedName function="false" hidden="false" localSheetId="18" name="하도급4" vbProcedure="false">#REF!</definedName>
    <definedName function="false" hidden="false" localSheetId="18" name="하도급5" vbProcedure="false">#REF!</definedName>
    <definedName function="false" hidden="false" localSheetId="18" name="하도급6" vbProcedure="false">#REF!</definedName>
    <definedName function="false" hidden="false" localSheetId="18" name="하도급사항" vbProcedure="false">#REF!</definedName>
    <definedName function="false" hidden="true" localSheetId="18" name="한" vbProcedure="false">#REF!</definedName>
    <definedName function="false" hidden="true" localSheetId="18" name="해" vbProcedure="false">#REF!</definedName>
    <definedName function="false" hidden="false" localSheetId="18" name="혀" vbProcedure="false">#REF!</definedName>
    <definedName function="false" hidden="false" localSheetId="18" name="현" vbProcedure="false">#REF!</definedName>
    <definedName function="false" hidden="true" localSheetId="18" name="현조" vbProcedure="false">#REF!</definedName>
    <definedName function="false" hidden="false" localSheetId="18" name="환율" vbProcedure="false">#REF!</definedName>
    <definedName function="false" hidden="false" localSheetId="18" name="효구" vbProcedure="false">dlog_show</definedName>
    <definedName function="false" hidden="false" localSheetId="18" name="효자" vbProcedure="false">dlog_show</definedName>
    <definedName function="false" hidden="false" localSheetId="18" name="효자건설" vbProcedure="false">dlog_show</definedName>
    <definedName function="false" hidden="false" localSheetId="19" name="예스폼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<sst xmlns="http://schemas.openxmlformats.org/spreadsheetml/2006/main" count="1122" uniqueCount="843">
  <si>
    <t xml:space="preserve">공사명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</si>
  <si>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맑은 고딕"/>
        <family val="2"/>
        <charset val="129"/>
      </rPr>
      <t xml:space="preserve">) OO</t>
    </r>
    <r>
      <rPr>
        <sz val="11"/>
        <color theme="1"/>
        <rFont val="Noto Sans CJK SC"/>
        <family val="2"/>
      </rPr>
      <t xml:space="preserve">부대 시설물 보수공사</t>
    </r>
  </si>
  <si>
    <t xml:space="preserve">공사 공종 </t>
  </si>
  <si>
    <t xml:space="preserve">종합공사</t>
  </si>
  <si>
    <t xml:space="preserve">현장소재지</t>
  </si>
  <si>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도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구</t>
    </r>
  </si>
  <si>
    <t xml:space="preserve">착공신고일자</t>
  </si>
  <si>
    <t xml:space="preserve">원청사 </t>
  </si>
  <si>
    <t xml:space="preserve">주식회사 가상건설</t>
  </si>
  <si>
    <t xml:space="preserve">031-000-0000</t>
  </si>
  <si>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도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구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로 </t>
    </r>
    <r>
      <rPr>
        <sz val="11"/>
        <color theme="1"/>
        <rFont val="맑은 고딕"/>
        <family val="2"/>
        <charset val="129"/>
      </rPr>
      <t xml:space="preserve">00 (OO</t>
    </r>
    <r>
      <rPr>
        <sz val="11"/>
        <color theme="1"/>
        <rFont val="Noto Sans CJK SC"/>
        <family val="2"/>
      </rPr>
      <t xml:space="preserve">동</t>
    </r>
    <r>
      <rPr>
        <sz val="11"/>
        <color theme="1"/>
        <rFont val="맑은 고딕"/>
        <family val="2"/>
        <charset val="129"/>
      </rPr>
      <t xml:space="preserve">) OOO</t>
    </r>
    <r>
      <rPr>
        <sz val="11"/>
        <color theme="1"/>
        <rFont val="Noto Sans CJK SC"/>
        <family val="2"/>
      </rPr>
      <t xml:space="preserve">호</t>
    </r>
  </si>
  <si>
    <t xml:space="preserve">대표</t>
  </si>
  <si>
    <t xml:space="preserve">홍길동</t>
  </si>
  <si>
    <t xml:space="preserve">발주처</t>
  </si>
  <si>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부대</t>
    </r>
  </si>
  <si>
    <t xml:space="preserve">031-000-0001</t>
  </si>
  <si>
    <t xml:space="preserve">계약금액</t>
  </si>
  <si>
    <t xml:space="preserve">계약년월일</t>
  </si>
  <si>
    <t xml:space="preserve">착공년월일</t>
  </si>
  <si>
    <t xml:space="preserve">준공(예정)년월일</t>
  </si>
  <si>
    <t xml:space="preserve">현장대리인</t>
  </si>
  <si>
    <t xml:space="preserve">연락처</t>
  </si>
  <si>
    <t xml:space="preserve">010-1234-5678</t>
  </si>
  <si>
    <t xml:space="preserve">주소</t>
  </si>
  <si>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도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구 </t>
    </r>
    <r>
      <rPr>
        <sz val="11"/>
        <color theme="1"/>
        <rFont val="맑은 고딕"/>
        <family val="2"/>
        <charset val="129"/>
      </rPr>
      <t xml:space="preserve">OO</t>
    </r>
    <r>
      <rPr>
        <sz val="11"/>
        <color theme="1"/>
        <rFont val="Noto Sans CJK SC"/>
        <family val="2"/>
      </rPr>
      <t xml:space="preserve">동 </t>
    </r>
    <r>
      <rPr>
        <sz val="11"/>
        <color theme="1"/>
        <rFont val="맑은 고딕"/>
        <family val="2"/>
        <charset val="129"/>
      </rPr>
      <t xml:space="preserve">000-00</t>
    </r>
  </si>
  <si>
    <t xml:space="preserve">주민등록번호</t>
  </si>
  <si>
    <t xml:space="preserve">생년월일</t>
  </si>
  <si>
    <t xml:space="preserve">자격증 수첩이면 </t>
  </si>
  <si>
    <t xml:space="preserve">자격번호</t>
  </si>
  <si>
    <t xml:space="preserve">00000000000X</t>
  </si>
  <si>
    <t xml:space="preserve">자격증 이면 </t>
  </si>
  <si>
    <t xml:space="preserve">관리번호</t>
  </si>
  <si>
    <t xml:space="preserve">면허종류</t>
  </si>
  <si>
    <t xml:space="preserve">중급</t>
  </si>
  <si>
    <t xml:space="preserve">입사일</t>
  </si>
  <si>
    <t xml:space="preserve">계약번호</t>
  </si>
  <si>
    <t xml:space="preserve">2026-OO-001</t>
  </si>
  <si>
    <t xml:space="preserve">문서번호 : 가상건설 - 260107 - 01호</t>
  </si>
  <si>
    <t xml:space="preserve">선결</t>
  </si>
  <si>
    <t xml:space="preserve">지시</t>
  </si>
  <si>
    <t xml:space="preserve">접 수</t>
  </si>
  <si>
    <t xml:space="preserve">일자                           시간</t>
  </si>
  <si>
    <t xml:space="preserve">결재 · 공람</t>
  </si>
  <si>
    <t xml:space="preserve">번호</t>
  </si>
  <si>
    <t xml:space="preserve">   경      유 :</t>
  </si>
  <si>
    <t xml:space="preserve">처리자</t>
  </si>
  <si>
    <t xml:space="preserve">담당자</t>
  </si>
  <si>
    <r>
      <rPr>
        <sz val="11"/>
        <rFont val="맑은 고딕"/>
        <family val="3"/>
        <charset val="129"/>
      </rPr>
      <t xml:space="preserve">3. </t>
    </r>
    <r>
      <rPr>
        <sz val="11"/>
        <rFont val="Noto Sans CJK SC"/>
        <family val="2"/>
      </rPr>
      <t xml:space="preserve">위 관련근거에 의거하여 착공신고서를 제출합니다</t>
    </r>
    <r>
      <rPr>
        <sz val="11"/>
        <rFont val="맑은 고딕"/>
        <family val="3"/>
        <charset val="129"/>
      </rPr>
      <t xml:space="preserve">.</t>
    </r>
  </si>
  <si>
    <r>
      <rPr>
        <sz val="11"/>
        <rFont val="맑은 고딕"/>
        <family val="3"/>
        <charset val="129"/>
      </rPr>
      <t xml:space="preserve">* </t>
    </r>
    <r>
      <rPr>
        <sz val="11"/>
        <rFont val="Noto Sans CJK SC"/>
        <family val="2"/>
      </rPr>
      <t xml:space="preserve">붙      임 </t>
    </r>
    <r>
      <rPr>
        <sz val="11"/>
        <rFont val="맑은 고딕"/>
        <family val="3"/>
        <charset val="129"/>
      </rPr>
      <t xml:space="preserve">:  1. </t>
    </r>
    <r>
      <rPr>
        <sz val="11"/>
        <rFont val="Noto Sans CJK SC"/>
        <family val="2"/>
      </rPr>
      <t xml:space="preserve">착공신고서 </t>
    </r>
    <r>
      <rPr>
        <sz val="11"/>
        <rFont val="맑은 고딕"/>
        <family val="3"/>
        <charset val="129"/>
      </rPr>
      <t xml:space="preserve">1</t>
    </r>
    <r>
      <rPr>
        <sz val="11"/>
        <rFont val="Noto Sans CJK SC"/>
        <family val="2"/>
      </rPr>
      <t xml:space="preserve">부</t>
    </r>
    <r>
      <rPr>
        <sz val="11"/>
        <rFont val="맑은 고딕"/>
        <family val="3"/>
        <charset val="129"/>
      </rPr>
      <t xml:space="preserve">.   </t>
    </r>
    <r>
      <rPr>
        <sz val="11"/>
        <rFont val="Noto Sans CJK SC"/>
        <family val="2"/>
      </rPr>
      <t xml:space="preserve">끝</t>
    </r>
    <r>
      <rPr>
        <sz val="11"/>
        <rFont val="맑은 고딕"/>
        <family val="3"/>
        <charset val="129"/>
      </rPr>
      <t xml:space="preserve">. </t>
    </r>
  </si>
  <si>
    <t xml:space="preserve">착공신고서</t>
  </si>
  <si>
    <t xml:space="preserve">목차</t>
  </si>
  <si>
    <r>
      <rPr>
        <sz val="16"/>
        <color rgb="FF000000"/>
        <rFont val="맑은 고딕"/>
        <family val="3"/>
        <charset val="129"/>
      </rPr>
      <t xml:space="preserve">1. </t>
    </r>
    <r>
      <rPr>
        <sz val="16"/>
        <color rgb="FF000000"/>
        <rFont val="Noto Sans CJK SC"/>
        <family val="2"/>
      </rPr>
      <t xml:space="preserve">착공신고서</t>
    </r>
  </si>
  <si>
    <r>
      <rPr>
        <sz val="16"/>
        <color rgb="FF000000"/>
        <rFont val="맑은 고딕"/>
        <family val="3"/>
        <charset val="129"/>
      </rPr>
      <t xml:space="preserve">2. </t>
    </r>
    <r>
      <rPr>
        <sz val="16"/>
        <color rgb="FF000000"/>
        <rFont val="Noto Sans CJK SC"/>
        <family val="2"/>
      </rPr>
      <t xml:space="preserve">현장대리인 지정신고서</t>
    </r>
  </si>
  <si>
    <r>
      <rPr>
        <sz val="16"/>
        <color rgb="FF000000"/>
        <rFont val="맑은 고딕"/>
        <family val="3"/>
        <charset val="129"/>
      </rPr>
      <t xml:space="preserve">3. </t>
    </r>
    <r>
      <rPr>
        <sz val="16"/>
        <color rgb="FF000000"/>
        <rFont val="Noto Sans CJK SC"/>
        <family val="2"/>
      </rPr>
      <t xml:space="preserve">공정표</t>
    </r>
  </si>
  <si>
    <r>
      <rPr>
        <sz val="16"/>
        <color rgb="FF000000"/>
        <rFont val="맑은 고딕"/>
        <family val="3"/>
        <charset val="129"/>
      </rPr>
      <t xml:space="preserve">4. </t>
    </r>
    <r>
      <rPr>
        <sz val="16"/>
        <color rgb="FF000000"/>
        <rFont val="Noto Sans CJK SC"/>
        <family val="2"/>
      </rPr>
      <t xml:space="preserve">품질관리계획서</t>
    </r>
  </si>
  <si>
    <r>
      <rPr>
        <sz val="16"/>
        <color rgb="FF000000"/>
        <rFont val="맑은 고딕"/>
        <family val="3"/>
        <charset val="129"/>
      </rPr>
      <t xml:space="preserve">5. </t>
    </r>
    <r>
      <rPr>
        <sz val="16"/>
        <color rgb="FF000000"/>
        <rFont val="Noto Sans CJK SC"/>
        <family val="2"/>
      </rPr>
      <t xml:space="preserve">안전관리계획서</t>
    </r>
  </si>
  <si>
    <r>
      <rPr>
        <sz val="16"/>
        <color rgb="FF000000"/>
        <rFont val="맑은 고딕"/>
        <family val="3"/>
        <charset val="129"/>
      </rPr>
      <t xml:space="preserve">6. </t>
    </r>
    <r>
      <rPr>
        <sz val="16"/>
        <color rgb="FF000000"/>
        <rFont val="Noto Sans CJK SC"/>
        <family val="2"/>
      </rPr>
      <t xml:space="preserve">환경보전계획서</t>
    </r>
  </si>
  <si>
    <r>
      <rPr>
        <sz val="16"/>
        <color rgb="FF000000"/>
        <rFont val="맑은 고딕"/>
        <family val="3"/>
        <charset val="129"/>
      </rPr>
      <t xml:space="preserve">7. </t>
    </r>
    <r>
      <rPr>
        <sz val="16"/>
        <color rgb="FF000000"/>
        <rFont val="Noto Sans CJK SC"/>
        <family val="2"/>
      </rPr>
      <t xml:space="preserve">인력 및 장비투입계획서</t>
    </r>
  </si>
  <si>
    <r>
      <rPr>
        <sz val="16"/>
        <color rgb="FF000000"/>
        <rFont val="맑은 고딕"/>
        <family val="3"/>
        <charset val="129"/>
      </rPr>
      <t xml:space="preserve">8. </t>
    </r>
    <r>
      <rPr>
        <sz val="16"/>
        <color rgb="FF000000"/>
        <rFont val="Noto Sans CJK SC"/>
        <family val="2"/>
      </rPr>
      <t xml:space="preserve">착공 전 사진</t>
    </r>
  </si>
  <si>
    <r>
      <rPr>
        <sz val="16"/>
        <color rgb="FF000000"/>
        <rFont val="맑은 고딕"/>
        <family val="3"/>
        <charset val="129"/>
      </rPr>
      <t xml:space="preserve">9. </t>
    </r>
    <r>
      <rPr>
        <sz val="16"/>
        <color rgb="FF000000"/>
        <rFont val="Noto Sans CJK SC"/>
        <family val="2"/>
      </rPr>
      <t xml:space="preserve">도급계약서 사본</t>
    </r>
  </si>
  <si>
    <r>
      <rPr>
        <sz val="16"/>
        <color rgb="FF000000"/>
        <rFont val="맑은 고딕"/>
        <family val="3"/>
        <charset val="129"/>
      </rPr>
      <t xml:space="preserve">11. </t>
    </r>
    <r>
      <rPr>
        <sz val="16"/>
        <color rgb="FF000000"/>
        <rFont val="Noto Sans CJK SC"/>
        <family val="2"/>
      </rPr>
      <t xml:space="preserve">착공전 현장사진</t>
    </r>
  </si>
  <si>
    <r>
      <rPr>
        <sz val="16"/>
        <color rgb="FF000000"/>
        <rFont val="맑은 고딕"/>
        <family val="3"/>
        <charset val="129"/>
      </rPr>
      <t xml:space="preserve">12. </t>
    </r>
    <r>
      <rPr>
        <sz val="16"/>
        <color rgb="FF000000"/>
        <rFont val="Noto Sans CJK SC"/>
        <family val="2"/>
      </rPr>
      <t xml:space="preserve">기타서류</t>
    </r>
  </si>
  <si>
    <r>
      <rPr>
        <sz val="24"/>
        <color theme="1"/>
        <rFont val="맑은 고딕"/>
        <family val="3"/>
        <charset val="129"/>
      </rPr>
      <t xml:space="preserve">1. </t>
    </r>
    <r>
      <rPr>
        <sz val="24"/>
        <color theme="1"/>
        <rFont val="Noto Sans CJK SC"/>
        <family val="2"/>
      </rPr>
      <t xml:space="preserve">착공신고서</t>
    </r>
  </si>
  <si>
    <t xml:space="preserve">:</t>
  </si>
  <si>
    <t xml:space="preserve">공사금액</t>
  </si>
  <si>
    <t xml:space="preserve">상기와 같이 착공하였기에 착공계를 제출합니다.</t>
  </si>
  <si>
    <t xml:space="preserve">붙임 :</t>
  </si>
  <si>
    <r>
      <rPr>
        <sz val="11"/>
        <color theme="1"/>
        <rFont val="맑은 고딕"/>
        <family val="3"/>
        <charset val="129"/>
      </rPr>
      <t xml:space="preserve">1. </t>
    </r>
    <r>
      <rPr>
        <sz val="11"/>
        <color theme="1"/>
        <rFont val="Noto Sans CJK SC"/>
        <family val="2"/>
      </rPr>
      <t xml:space="preserve">현장대리인 지정신고서</t>
    </r>
  </si>
  <si>
    <r>
      <rPr>
        <sz val="11"/>
        <color theme="1"/>
        <rFont val="맑은 고딕"/>
        <family val="3"/>
        <charset val="129"/>
      </rPr>
      <t xml:space="preserve">2. </t>
    </r>
    <r>
      <rPr>
        <sz val="11"/>
        <color theme="1"/>
        <rFont val="Noto Sans CJK SC"/>
        <family val="2"/>
      </rPr>
      <t xml:space="preserve">공사예정표</t>
    </r>
  </si>
  <si>
    <r>
      <rPr>
        <sz val="11"/>
        <color theme="1"/>
        <rFont val="맑은 고딕"/>
        <family val="3"/>
        <charset val="129"/>
      </rPr>
      <t xml:space="preserve">3. </t>
    </r>
    <r>
      <rPr>
        <sz val="11"/>
        <color theme="1"/>
        <rFont val="Noto Sans CJK SC"/>
        <family val="2"/>
      </rPr>
      <t xml:space="preserve">품질관리계획서</t>
    </r>
  </si>
  <si>
    <r>
      <rPr>
        <sz val="11"/>
        <color theme="1"/>
        <rFont val="맑은 고딕"/>
        <family val="3"/>
        <charset val="129"/>
      </rPr>
      <t xml:space="preserve">4. </t>
    </r>
    <r>
      <rPr>
        <sz val="11"/>
        <color theme="1"/>
        <rFont val="Noto Sans CJK SC"/>
        <family val="2"/>
      </rPr>
      <t xml:space="preserve">안전관리계획서</t>
    </r>
  </si>
  <si>
    <r>
      <rPr>
        <sz val="11"/>
        <color theme="1"/>
        <rFont val="맑은 고딕"/>
        <family val="3"/>
        <charset val="129"/>
      </rPr>
      <t xml:space="preserve">5. </t>
    </r>
    <r>
      <rPr>
        <sz val="11"/>
        <color theme="1"/>
        <rFont val="Noto Sans CJK SC"/>
        <family val="2"/>
      </rPr>
      <t xml:space="preserve">롼경관리계획서</t>
    </r>
  </si>
  <si>
    <r>
      <rPr>
        <sz val="11"/>
        <color theme="1"/>
        <rFont val="맑은 고딕"/>
        <family val="3"/>
        <charset val="129"/>
      </rPr>
      <t xml:space="preserve">6. </t>
    </r>
    <r>
      <rPr>
        <sz val="11"/>
        <color theme="1"/>
        <rFont val="Noto Sans CJK SC"/>
        <family val="2"/>
      </rPr>
      <t xml:space="preserve">인력 및 장비 투입계획서</t>
    </r>
  </si>
  <si>
    <r>
      <rPr>
        <sz val="11"/>
        <color theme="1"/>
        <rFont val="맑은 고딕"/>
        <family val="3"/>
        <charset val="129"/>
      </rPr>
      <t xml:space="preserve">7. </t>
    </r>
    <r>
      <rPr>
        <sz val="11"/>
        <color theme="1"/>
        <rFont val="Noto Sans CJK SC"/>
        <family val="2"/>
      </rPr>
      <t xml:space="preserve">착공 전 사진</t>
    </r>
  </si>
  <si>
    <r>
      <rPr>
        <sz val="11"/>
        <color theme="1"/>
        <rFont val="맑은 고딕"/>
        <family val="3"/>
        <charset val="129"/>
      </rPr>
      <t xml:space="preserve">8. </t>
    </r>
    <r>
      <rPr>
        <sz val="11"/>
        <color theme="1"/>
        <rFont val="Noto Sans CJK SC"/>
        <family val="2"/>
      </rPr>
      <t xml:space="preserve">공사도급계약서 및 산출내역서</t>
    </r>
  </si>
  <si>
    <t xml:space="preserve">상호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</si>
  <si>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인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</si>
  <si>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24"/>
        <color theme="1"/>
        <rFont val="맑은 고딕"/>
        <family val="3"/>
        <charset val="129"/>
      </rPr>
      <t xml:space="preserve">2. </t>
    </r>
    <r>
      <rPr>
        <sz val="24"/>
        <color theme="1"/>
        <rFont val="Noto Sans CJK SC"/>
        <family val="2"/>
      </rPr>
      <t xml:space="preserve">현장대리인 지정신고서</t>
    </r>
  </si>
  <si>
    <t xml:space="preserve">준공예정년월일</t>
  </si>
  <si>
    <t xml:space="preserve">성명</t>
  </si>
  <si>
    <t xml:space="preserve">기술자격등급</t>
  </si>
  <si>
    <t xml:space="preserve">면 허 번 호</t>
  </si>
  <si>
    <t xml:space="preserve">         위와 같이 현장대리인기술자로 선정하였기에 제출합니다.</t>
  </si>
  <si>
    <r>
      <rPr>
        <sz val="11"/>
        <color theme="1"/>
        <rFont val="맑은 고딕"/>
        <family val="3"/>
        <charset val="129"/>
      </rPr>
      <t xml:space="preserve">1. </t>
    </r>
    <r>
      <rPr>
        <sz val="11"/>
        <color theme="1"/>
        <rFont val="Noto Sans CJK SC"/>
        <family val="2"/>
      </rPr>
      <t xml:space="preserve">재직증명서                    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Noto Sans CJK SC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.</t>
    </r>
  </si>
  <si>
    <r>
      <rPr>
        <sz val="11"/>
        <color theme="1"/>
        <rFont val="맑은 고딕"/>
        <family val="3"/>
        <charset val="129"/>
      </rPr>
      <t xml:space="preserve">2. </t>
    </r>
    <r>
      <rPr>
        <sz val="11"/>
        <color theme="1"/>
        <rFont val="Noto Sans CJK SC"/>
        <family val="2"/>
      </rPr>
      <t xml:space="preserve">건설기술자 경력증명서    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Noto Sans CJK SC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.    </t>
    </r>
    <r>
      <rPr>
        <sz val="11"/>
        <color theme="1"/>
        <rFont val="Noto Sans CJK SC"/>
        <family val="2"/>
      </rPr>
      <t xml:space="preserve">끝</t>
    </r>
    <r>
      <rPr>
        <sz val="11"/>
        <color theme="1"/>
        <rFont val="맑은 고딕"/>
        <family val="3"/>
        <charset val="129"/>
      </rPr>
      <t xml:space="preserve">.</t>
    </r>
  </si>
  <si>
    <t xml:space="preserve">대표이사</t>
  </si>
  <si>
    <r>
      <rPr>
        <sz val="24"/>
        <color theme="1"/>
        <rFont val="맑은 고딕"/>
        <family val="3"/>
        <charset val="129"/>
      </rPr>
      <t xml:space="preserve">3-2. </t>
    </r>
    <r>
      <rPr>
        <sz val="24"/>
        <color theme="1"/>
        <rFont val="Noto Sans CJK SC"/>
        <family val="2"/>
      </rPr>
      <t xml:space="preserve">안전관리자선임계</t>
    </r>
  </si>
  <si>
    <t xml:space="preserve">안전관리자</t>
  </si>
  <si>
    <t xml:space="preserve">면허종목및등급</t>
  </si>
  <si>
    <t xml:space="preserve">면허번호</t>
  </si>
  <si>
    <t xml:space="preserve">         위와 같이 안전관리자를 선정 위 공사현장에 상주하게 하여 현장감독관의 감독 또는 지시에 따라 우리 회사를 대표하여 공사현장의 단속 및 공사에 관한 모든 사항을 처리하며, 이에 안전관리자선임계를 제출합니다.</t>
  </si>
  <si>
    <r>
      <rPr>
        <sz val="24"/>
        <color theme="1"/>
        <rFont val="맑은 고딕"/>
        <family val="3"/>
        <charset val="129"/>
      </rPr>
      <t xml:space="preserve">3-3. </t>
    </r>
    <r>
      <rPr>
        <sz val="24"/>
        <color theme="1"/>
        <rFont val="Noto Sans CJK SC"/>
        <family val="2"/>
      </rPr>
      <t xml:space="preserve">품질관리자선임계</t>
    </r>
  </si>
  <si>
    <t xml:space="preserve">품질관리자</t>
  </si>
  <si>
    <t xml:space="preserve">         위와 같이 품질관리자를 선정 위 공사현장에 상주하게 하여 현장감독관의 감독 또는 지시에 따라 우리 회사를 대표하여 공사현장의 단속 및 공사에 관한 모든 사항을 처리하며, 이에 품질관리자선임계를 제출합니다.</t>
  </si>
  <si>
    <t xml:space="preserve">재직증명원</t>
  </si>
  <si>
    <t xml:space="preserve">직위</t>
  </si>
  <si>
    <t xml:space="preserve">이사</t>
  </si>
  <si>
    <t xml:space="preserve">재직기간</t>
  </si>
  <si>
    <r>
      <rPr>
        <sz val="11"/>
        <color theme="1"/>
        <rFont val="맑은 고딕"/>
        <family val="3"/>
        <charset val="129"/>
      </rPr>
      <t xml:space="preserve"> ~ </t>
    </r>
    <r>
      <rPr>
        <sz val="11"/>
        <color theme="1"/>
        <rFont val="Noto Sans CJK SC"/>
        <family val="2"/>
      </rPr>
      <t xml:space="preserve">현재</t>
    </r>
  </si>
  <si>
    <t xml:space="preserve">용도</t>
  </si>
  <si>
    <t xml:space="preserve">착공계 제출용</t>
  </si>
  <si>
    <t xml:space="preserve">상기 자는 본사에 재직 하고 있음을 증명함.</t>
  </si>
  <si>
    <t xml:space="preserve">건설기술자경력수첩</t>
  </si>
  <si>
    <r>
      <rPr>
        <b val="true"/>
        <sz val="24"/>
        <color rgb="FF000000"/>
        <rFont val="맑은 고딕"/>
        <family val="3"/>
        <charset val="129"/>
      </rPr>
      <t xml:space="preserve">3. </t>
    </r>
    <r>
      <rPr>
        <b val="true"/>
        <sz val="24"/>
        <color rgb="FF000000"/>
        <rFont val="Noto Sans CJK SC"/>
        <family val="2"/>
      </rPr>
      <t xml:space="preserve">공   사    예   정   공   정   표 </t>
    </r>
  </si>
  <si>
    <t xml:space="preserve">공 사 명</t>
  </si>
  <si>
    <t xml:space="preserve">착공일자 :</t>
  </si>
  <si>
    <t xml:space="preserve">준공일자 :</t>
  </si>
  <si>
    <t xml:space="preserve">공 종 별</t>
  </si>
  <si>
    <r>
      <rPr>
        <sz val="9"/>
        <color rgb="FF000000"/>
        <rFont val="맑은 고딕"/>
        <family val="3"/>
        <charset val="129"/>
      </rPr>
      <t xml:space="preserve">11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</si>
  <si>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맑은 고딕"/>
        <family val="3"/>
        <charset val="129"/>
      </rPr>
      <t xml:space="preserve">12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</si>
  <si>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맑은 고딕"/>
        <family val="3"/>
        <charset val="129"/>
      </rPr>
      <t xml:space="preserve">C
</t>
    </r>
    <r>
      <rPr>
        <sz val="9"/>
        <color rgb="FF000000"/>
        <rFont val="Noto Sans CJK SC"/>
        <family val="2"/>
      </rPr>
      <t xml:space="preserve">작업구역</t>
    </r>
  </si>
  <si>
    <t xml:space="preserve">토 공 사</t>
  </si>
  <si>
    <t xml:space="preserve">잔 손 보 기</t>
  </si>
  <si>
    <t xml:space="preserve">철 거 공 사</t>
  </si>
  <si>
    <t xml:space="preserve">우 수 공 사</t>
  </si>
  <si>
    <t xml:space="preserve">포 장 공 사</t>
  </si>
  <si>
    <t xml:space="preserve">구 조 물 공 사</t>
  </si>
  <si>
    <t xml:space="preserve">부 대 공 사</t>
  </si>
  <si>
    <r>
      <rPr>
        <sz val="24"/>
        <color theme="1"/>
        <rFont val="맑은 고딕"/>
        <family val="3"/>
        <charset val="129"/>
      </rPr>
      <t xml:space="preserve">4. </t>
    </r>
    <r>
      <rPr>
        <sz val="24"/>
        <color theme="1"/>
        <rFont val="Noto Sans CJK SC"/>
        <family val="2"/>
      </rPr>
      <t xml:space="preserve">품질관리계획서</t>
    </r>
  </si>
  <si>
    <t xml:space="preserve">시공사</t>
  </si>
  <si>
    <t xml:space="preserve">건설기술관리법 시행령 제 41조의 제2항의 규정에 의하여 품질관리계획서를 제출합니다.</t>
  </si>
  <si>
    <r>
      <rPr>
        <sz val="11"/>
        <color theme="1"/>
        <rFont val="맑은 고딕"/>
        <family val="3"/>
        <charset val="129"/>
      </rPr>
      <t xml:space="preserve">1. </t>
    </r>
    <r>
      <rPr>
        <sz val="11"/>
        <color theme="1"/>
        <rFont val="Noto Sans CJK SC"/>
        <family val="2"/>
      </rPr>
      <t xml:space="preserve">품질관리계획      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Noto Sans CJK SC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.       </t>
    </r>
    <r>
      <rPr>
        <sz val="11"/>
        <color theme="1"/>
        <rFont val="Noto Sans CJK SC"/>
        <family val="2"/>
      </rPr>
      <t xml:space="preserve">끝</t>
    </r>
    <r>
      <rPr>
        <sz val="11"/>
        <color theme="1"/>
        <rFont val="맑은 고딕"/>
        <family val="3"/>
        <charset val="129"/>
      </rPr>
      <t xml:space="preserve">.</t>
    </r>
  </si>
  <si>
    <t xml:space="preserve">작성자</t>
  </si>
  <si>
    <t xml:space="preserve">승인</t>
  </si>
  <si>
    <t xml:space="preserve">확인</t>
  </si>
  <si>
    <t xml:space="preserve">감독관                               (인)</t>
  </si>
  <si>
    <r>
      <rPr>
        <b val="true"/>
        <sz val="15"/>
        <color rgb="FF000000"/>
        <rFont val="맑은 고딕"/>
        <family val="3"/>
        <charset val="129"/>
      </rPr>
      <t xml:space="preserve">4. </t>
    </r>
    <r>
      <rPr>
        <b val="true"/>
        <sz val="15"/>
        <color rgb="FF000000"/>
        <rFont val="Noto Sans CJK SC"/>
        <family val="2"/>
      </rPr>
      <t xml:space="preserve">품질관리계획</t>
    </r>
  </si>
  <si>
    <r>
      <rPr>
        <b val="true"/>
        <sz val="10"/>
        <color rgb="FF000000"/>
        <rFont val="맑은 고딕"/>
        <family val="3"/>
        <charset val="129"/>
      </rPr>
      <t xml:space="preserve">4-1 </t>
    </r>
    <r>
      <rPr>
        <b val="true"/>
        <sz val="10"/>
        <color rgb="FF000000"/>
        <rFont val="Noto Sans CJK SC"/>
        <family val="2"/>
      </rPr>
      <t xml:space="preserve">공사개요</t>
    </r>
  </si>
  <si>
    <t xml:space="preserve">구분</t>
  </si>
  <si>
    <t xml:space="preserve">내용</t>
  </si>
  <si>
    <t xml:space="preserve">대지위치</t>
  </si>
  <si>
    <t xml:space="preserve">공사기간</t>
  </si>
  <si>
    <t xml:space="preserve">~</t>
  </si>
  <si>
    <t xml:space="preserve">공사내용</t>
  </si>
  <si>
    <r>
      <rPr>
        <b val="true"/>
        <sz val="10"/>
        <color rgb="FF000000"/>
        <rFont val="맑은 고딕"/>
        <family val="3"/>
        <charset val="129"/>
      </rPr>
      <t xml:space="preserve">4-2 </t>
    </r>
    <r>
      <rPr>
        <b val="true"/>
        <sz val="10"/>
        <color rgb="FF000000"/>
        <rFont val="Noto Sans CJK SC"/>
        <family val="2"/>
      </rPr>
      <t xml:space="preserve">품질관리 조직도</t>
    </r>
  </si>
  <si>
    <t xml:space="preserve">발 주 처</t>
  </si>
  <si>
    <t xml:space="preserve">시 공 사</t>
  </si>
  <si>
    <r>
      <rPr>
        <b val="true"/>
        <sz val="10"/>
        <color rgb="FF000000"/>
        <rFont val="맑은 고딕"/>
        <family val="3"/>
        <charset val="129"/>
      </rPr>
      <t xml:space="preserve">4-3 </t>
    </r>
    <r>
      <rPr>
        <b val="true"/>
        <sz val="10"/>
        <color rgb="FF000000"/>
        <rFont val="Noto Sans CJK SC"/>
        <family val="2"/>
      </rPr>
      <t xml:space="preserve">품질시험계획</t>
    </r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</si>
  <si>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설계 또는 시공을 위하여 필요한 재료의 선정을 위한 시험</t>
    </r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</si>
  <si>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사용하는 재료의 품질 확보에 관한 관계법규와 그에 따른 관계 규정이 적합하게 이루어지고  </t>
    </r>
  </si>
  <si>
    <t xml:space="preserve">있는지 여부에 대한시험</t>
  </si>
  <si>
    <r>
      <rPr>
        <sz val="10"/>
        <color rgb="FF000000"/>
        <rFont val="맑은 고딕"/>
        <family val="3"/>
        <charset val="129"/>
      </rPr>
      <t xml:space="preserve">3) </t>
    </r>
    <r>
      <rPr>
        <sz val="10"/>
        <color rgb="FF000000"/>
        <rFont val="Noto Sans CJK SC"/>
        <family val="2"/>
      </rPr>
      <t xml:space="preserve">품질 확보 여부를 확인하기 위한 관리시험과 검사가 적정하게 실시 되었는지 여부에 대한 시험</t>
    </r>
  </si>
  <si>
    <r>
      <rPr>
        <b val="true"/>
        <sz val="10"/>
        <color rgb="FF000000"/>
        <rFont val="맑은 고딕"/>
        <family val="3"/>
        <charset val="129"/>
      </rPr>
      <t xml:space="preserve">4-4 </t>
    </r>
    <r>
      <rPr>
        <b val="true"/>
        <sz val="10"/>
        <color rgb="FF000000"/>
        <rFont val="Noto Sans CJK SC"/>
        <family val="2"/>
      </rPr>
      <t xml:space="preserve">시험기구 배치 계획</t>
    </r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</si>
  <si>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필요시 시험 및 검사는 외부 전문기관에 의뢰한다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</si>
  <si>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현장에 반입되는 자재는 육안검사를 우선으로 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</si>
  <si>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b val="true"/>
        <sz val="10"/>
        <color rgb="FF000000"/>
        <rFont val="맑은 고딕"/>
        <family val="3"/>
        <charset val="129"/>
      </rPr>
      <t xml:space="preserve">4-5 </t>
    </r>
    <r>
      <rPr>
        <b val="true"/>
        <sz val="10"/>
        <color rgb="FF000000"/>
        <rFont val="Noto Sans CJK SC"/>
        <family val="2"/>
      </rPr>
      <t xml:space="preserve">검사 및 시험 관리</t>
    </r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</si>
  <si>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일반사항</t>
    </r>
  </si>
  <si>
    <t xml:space="preserve">품질관리는 설계도면과 시방서에 명시된 사용자재에 관한 품질관리(품질시험 및 검사)와 </t>
  </si>
  <si>
    <t xml:space="preserve">시공상태에 요구된 규격관리(시공관리)에 의하여 이루어져야 한다. 따라서 시공시 재료의 검사 및 </t>
  </si>
  <si>
    <t xml:space="preserve">시험, 시공중의 검사, 시공후의 검사 및 시험 등으로 품질관리를 수행하여야 한다. </t>
  </si>
  <si>
    <t xml:space="preserve">본 공사는 구조물 보수공사로 공사 완료시에는 구조물 특성상 코아채취 등에 의한 재료의 </t>
  </si>
  <si>
    <t xml:space="preserve">품질검사가 곤란하므로 보수공사를 효과적으로 수행하기 위해서는 시공 중 단계별 시공관리 및 </t>
  </si>
  <si>
    <t xml:space="preserve">검사가 중요하다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</si>
  <si>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품질관리 요령</t>
    </r>
  </si>
  <si>
    <t xml:space="preserve">가. 재료의 검사 및 시험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</si>
  <si>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재료 반입시 종류・규격・반입량・제조업자명・제조년월일・저장유효기간・성능에 </t>
    </r>
  </si>
  <si>
    <t xml:space="preserve">관련한 시험성적표(국공립품질시험 관련기관, 정부공인 품질시험 전문기관의 발행에 의한 것)를 </t>
  </si>
  <si>
    <t xml:space="preserve">명시하고, 감독관의 검수・승인을 받는다.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</si>
  <si>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감독관은 시방서 등에 기재된 품명 및 수량 등을 확인하고 품질시험을 실시한다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</si>
  <si>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3) </t>
    </r>
    <r>
      <rPr>
        <sz val="10"/>
        <color rgb="FF000000"/>
        <rFont val="Noto Sans CJK SC"/>
        <family val="2"/>
      </rPr>
      <t xml:space="preserve">시공중의 재료검사 및 시험은 시공 전의 재료와 시공 중의 재료가 상이함이 있을 때 감독관의 </t>
    </r>
  </si>
  <si>
    <t xml:space="preserve">판단에 따라 시험한다.</t>
  </si>
  <si>
    <r>
      <rPr>
        <sz val="10"/>
        <color rgb="FF000000"/>
        <rFont val="맑은 고딕"/>
        <family val="3"/>
        <charset val="129"/>
      </rPr>
      <t xml:space="preserve">4) </t>
    </r>
    <r>
      <rPr>
        <sz val="10"/>
        <color rgb="FF000000"/>
        <rFont val="Noto Sans CJK SC"/>
        <family val="2"/>
      </rPr>
      <t xml:space="preserve">수질환경보전법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소방법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산업안전보건법 등 관계법규의 적용을 받는 재료의 유무를 확인하고</t>
    </r>
  </si>
  <si>
    <t xml:space="preserve">그 규제를 따른다.</t>
  </si>
  <si>
    <t xml:space="preserve">나. 시공검사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</si>
  <si>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설계도서 및 도면 검토를 통하여 현장여건과 비교 검사한다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</si>
  <si>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반입시 재료와 사용 중 재료의 적합성을 확인한다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</si>
  <si>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3) </t>
    </r>
    <r>
      <rPr>
        <sz val="10"/>
        <color rgb="FF000000"/>
        <rFont val="Noto Sans CJK SC"/>
        <family val="2"/>
      </rPr>
      <t xml:space="preserve">보수부위의 청소 및 건조상태를 육안으로 검사한다</t>
    </r>
    <r>
      <rPr>
        <sz val="10"/>
        <color rgb="FF000000"/>
        <rFont val="맑은 고딕"/>
        <family val="3"/>
        <charset val="129"/>
      </rPr>
      <t xml:space="preserve">. </t>
    </r>
  </si>
  <si>
    <r>
      <rPr>
        <sz val="10"/>
        <color rgb="FF000000"/>
        <rFont val="맑은 고딕"/>
        <family val="3"/>
        <charset val="129"/>
      </rPr>
      <t xml:space="preserve">4) </t>
    </r>
    <r>
      <rPr>
        <sz val="10"/>
        <color rgb="FF000000"/>
        <rFont val="Noto Sans CJK SC"/>
        <family val="2"/>
      </rPr>
      <t xml:space="preserve">규정수량이 사용되고 있는지 확인한다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</si>
  <si>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5) </t>
    </r>
    <r>
      <rPr>
        <sz val="10"/>
        <color rgb="FF000000"/>
        <rFont val="Noto Sans CJK SC"/>
        <family val="2"/>
      </rPr>
      <t xml:space="preserve">각 단계별로 검사를 하여 소정의 공사가 행해지는 가를 확인하여야 하며 특히 신구재료의 </t>
    </r>
  </si>
  <si>
    <t xml:space="preserve">일체성 확보에 대해서는 세심한 주의를 하여야 한다.</t>
  </si>
  <si>
    <r>
      <rPr>
        <sz val="10"/>
        <color rgb="FF000000"/>
        <rFont val="맑은 고딕"/>
        <family val="3"/>
        <charset val="129"/>
      </rPr>
      <t xml:space="preserve">6) </t>
    </r>
    <r>
      <rPr>
        <sz val="10"/>
        <color rgb="FF000000"/>
        <rFont val="Noto Sans CJK SC"/>
        <family val="2"/>
      </rPr>
      <t xml:space="preserve">작업중 재료의 계량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혼합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교반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보수작업 등에 입회한다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</si>
  <si>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7) </t>
    </r>
    <r>
      <rPr>
        <sz val="10"/>
        <color rgb="FF000000"/>
        <rFont val="Noto Sans CJK SC"/>
        <family val="2"/>
      </rPr>
      <t xml:space="preserve">소정의 양생이 적절히 행해지고 있는가를 검사한다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</si>
  <si>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8) </t>
    </r>
    <r>
      <rPr>
        <sz val="10"/>
        <color rgb="FF000000"/>
        <rFont val="Noto Sans CJK SC"/>
        <family val="2"/>
      </rPr>
      <t xml:space="preserve">보수의 마무리 상태를 확인하여야 하며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특히 보수부분이 누락되지 않도록 각별히 주의</t>
    </r>
  </si>
  <si>
    <t xml:space="preserve">하여야 한다.</t>
  </si>
  <si>
    <r>
      <rPr>
        <sz val="24"/>
        <color theme="1"/>
        <rFont val="맑은 고딕"/>
        <family val="3"/>
        <charset val="129"/>
      </rPr>
      <t xml:space="preserve">5. </t>
    </r>
    <r>
      <rPr>
        <sz val="24"/>
        <color theme="1"/>
        <rFont val="Noto Sans CJK SC"/>
        <family val="2"/>
      </rPr>
      <t xml:space="preserve">안전관리계획서</t>
    </r>
  </si>
  <si>
    <t xml:space="preserve">건설기술관리법 시행령 제 46조의 제2항의 규정에 의하여 안전관리계획서를 제출합니다.</t>
  </si>
  <si>
    <r>
      <rPr>
        <sz val="11"/>
        <color theme="1"/>
        <rFont val="맑은 고딕"/>
        <family val="3"/>
        <charset val="129"/>
      </rPr>
      <t xml:space="preserve">1. </t>
    </r>
    <r>
      <rPr>
        <sz val="11"/>
        <color theme="1"/>
        <rFont val="Noto Sans CJK SC"/>
        <family val="2"/>
      </rPr>
      <t xml:space="preserve">안전관리계획서      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Noto Sans CJK SC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.       </t>
    </r>
    <r>
      <rPr>
        <sz val="11"/>
        <color theme="1"/>
        <rFont val="Noto Sans CJK SC"/>
        <family val="2"/>
      </rPr>
      <t xml:space="preserve">끝</t>
    </r>
    <r>
      <rPr>
        <sz val="11"/>
        <color theme="1"/>
        <rFont val="맑은 고딕"/>
        <family val="3"/>
        <charset val="129"/>
      </rPr>
      <t xml:space="preserve">.</t>
    </r>
  </si>
  <si>
    <r>
      <rPr>
        <b val="true"/>
        <sz val="15"/>
        <color rgb="FF000000"/>
        <rFont val="맑은 고딕"/>
        <family val="3"/>
        <charset val="129"/>
      </rPr>
      <t xml:space="preserve">5. </t>
    </r>
    <r>
      <rPr>
        <b val="true"/>
        <sz val="15"/>
        <color rgb="FF000000"/>
        <rFont val="Noto Sans CJK SC"/>
        <family val="2"/>
      </rPr>
      <t xml:space="preserve">안전관리계획서</t>
    </r>
  </si>
  <si>
    <r>
      <rPr>
        <b val="true"/>
        <sz val="10"/>
        <color rgb="FF000000"/>
        <rFont val="맑은 고딕"/>
        <family val="3"/>
        <charset val="129"/>
      </rPr>
      <t xml:space="preserve">5-1 </t>
    </r>
    <r>
      <rPr>
        <b val="true"/>
        <sz val="10"/>
        <color rgb="FF000000"/>
        <rFont val="Noto Sans CJK SC"/>
        <family val="2"/>
      </rPr>
      <t xml:space="preserve">안전관리의 기본목표 및 방침</t>
    </r>
  </si>
  <si>
    <t xml:space="preserve">안전목표</t>
  </si>
  <si>
    <t xml:space="preserve">안전활동</t>
  </si>
  <si>
    <t xml:space="preserve">안전
평가 
및 
조치</t>
  </si>
  <si>
    <t xml:space="preserve">무재해
목표
달성</t>
  </si>
  <si>
    <t xml:space="preserve">쾌적한 작업환경조성</t>
  </si>
  <si>
    <t xml:space="preserve">불안전한 행동 근절</t>
  </si>
  <si>
    <t xml:space="preserve">근로자 안전보건 확보</t>
  </si>
  <si>
    <t xml:space="preserve">불안전시설 관리 철저</t>
  </si>
  <si>
    <t xml:space="preserve">산업재해 예방</t>
  </si>
  <si>
    <t xml:space="preserve">안전교육과 점검 철저</t>
  </si>
  <si>
    <r>
      <rPr>
        <b val="true"/>
        <sz val="10"/>
        <color rgb="FF000000"/>
        <rFont val="맑은 고딕"/>
        <family val="3"/>
        <charset val="129"/>
      </rPr>
      <t xml:space="preserve">5-2 </t>
    </r>
    <r>
      <rPr>
        <b val="true"/>
        <sz val="10"/>
        <color rgb="FF000000"/>
        <rFont val="Noto Sans CJK SC"/>
        <family val="2"/>
      </rPr>
      <t xml:space="preserve">안전관리의 조직도</t>
    </r>
  </si>
  <si>
    <t xml:space="preserve">`</t>
  </si>
  <si>
    <r>
      <rPr>
        <b val="true"/>
        <sz val="10"/>
        <color rgb="FF000000"/>
        <rFont val="맑은 고딕"/>
        <family val="3"/>
        <charset val="129"/>
      </rPr>
      <t xml:space="preserve">5-3. </t>
    </r>
    <r>
      <rPr>
        <b val="true"/>
        <sz val="10"/>
        <color rgb="FF000000"/>
        <rFont val="Noto Sans CJK SC"/>
        <family val="2"/>
      </rPr>
      <t xml:space="preserve">안전관리 항목</t>
    </r>
  </si>
  <si>
    <t xml:space="preserve">구           분</t>
  </si>
  <si>
    <t xml:space="preserve">내              용</t>
  </si>
  <si>
    <r>
      <rPr>
        <sz val="10"/>
        <color rgb="FF000000"/>
        <rFont val="맑은 고딕"/>
        <family val="3"/>
        <charset val="129"/>
      </rPr>
      <t xml:space="preserve">1. </t>
    </r>
    <r>
      <rPr>
        <sz val="10"/>
        <color rgb="FF000000"/>
        <rFont val="Noto Sans CJK SC"/>
        <family val="2"/>
      </rPr>
      <t xml:space="preserve">안전 관련 서류 비치 </t>
    </r>
  </si>
  <si>
    <t xml:space="preserve">안전관련 책자</t>
  </si>
  <si>
    <r>
      <rPr>
        <sz val="10"/>
        <color rgb="FF000000"/>
        <rFont val="맑은 고딕"/>
        <family val="3"/>
        <charset val="129"/>
      </rPr>
      <t xml:space="preserve">2. </t>
    </r>
    <r>
      <rPr>
        <sz val="10"/>
        <color rgb="FF000000"/>
        <rFont val="Noto Sans CJK SC"/>
        <family val="2"/>
      </rPr>
      <t xml:space="preserve">안 전 교 육</t>
    </r>
  </si>
  <si>
    <t xml:space="preserve">소장교육 : 주간단위  /  반장교육 : 작업전 매일</t>
  </si>
  <si>
    <r>
      <rPr>
        <sz val="10"/>
        <color rgb="FF000000"/>
        <rFont val="맑은 고딕"/>
        <family val="3"/>
        <charset val="129"/>
      </rPr>
      <t xml:space="preserve">3. </t>
    </r>
    <r>
      <rPr>
        <sz val="10"/>
        <color rgb="FF000000"/>
        <rFont val="Noto Sans CJK SC"/>
        <family val="2"/>
      </rPr>
      <t xml:space="preserve">안전 장구 착용</t>
    </r>
  </si>
  <si>
    <t xml:space="preserve">안전모 및 개인안전구 착용</t>
  </si>
  <si>
    <r>
      <rPr>
        <sz val="10"/>
        <color rgb="FF000000"/>
        <rFont val="맑은 고딕"/>
        <family val="3"/>
        <charset val="129"/>
      </rPr>
      <t xml:space="preserve">4. </t>
    </r>
    <r>
      <rPr>
        <sz val="10"/>
        <color rgb="FF000000"/>
        <rFont val="Noto Sans CJK SC"/>
        <family val="2"/>
      </rPr>
      <t xml:space="preserve">안전망</t>
    </r>
    <r>
      <rPr>
        <sz val="10"/>
        <color rgb="FF000000"/>
        <rFont val="맑은 고딕"/>
        <family val="3"/>
        <charset val="129"/>
      </rPr>
      <t xml:space="preserve">,</t>
    </r>
    <r>
      <rPr>
        <sz val="10"/>
        <color rgb="FF000000"/>
        <rFont val="Noto Sans CJK SC"/>
        <family val="2"/>
      </rPr>
      <t xml:space="preserve">휀스 설치</t>
    </r>
  </si>
  <si>
    <t xml:space="preserve">현장 여건에 따라 설치 </t>
  </si>
  <si>
    <r>
      <rPr>
        <sz val="10"/>
        <color rgb="FF000000"/>
        <rFont val="맑은 고딕"/>
        <family val="3"/>
        <charset val="129"/>
      </rPr>
      <t xml:space="preserve">5. </t>
    </r>
    <r>
      <rPr>
        <sz val="10"/>
        <color rgb="FF000000"/>
        <rFont val="Noto Sans CJK SC"/>
        <family val="2"/>
      </rPr>
      <t xml:space="preserve">기 타</t>
    </r>
  </si>
  <si>
    <t xml:space="preserve">위험부위 수시 점검</t>
  </si>
  <si>
    <r>
      <rPr>
        <b val="true"/>
        <sz val="10"/>
        <color rgb="FF000000"/>
        <rFont val="맑은 고딕"/>
        <family val="3"/>
        <charset val="129"/>
      </rPr>
      <t xml:space="preserve">5-4. </t>
    </r>
    <r>
      <rPr>
        <b val="true"/>
        <sz val="10"/>
        <color rgb="FF000000"/>
        <rFont val="Noto Sans CJK SC"/>
        <family val="2"/>
      </rPr>
      <t xml:space="preserve">안전점검계획</t>
    </r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</si>
  <si>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목 적</t>
    </r>
  </si>
  <si>
    <t xml:space="preserve">현장의 안전관리 상태를 수시로 점검하여 작업환경의 불안전한 상태와 근로자의 불안전한 행동</t>
  </si>
  <si>
    <t xml:space="preserve">으로부터 발생할 수 있는 모든 잠재적인 사고요인을 사전에 제거하여 인명및 재산을 보호하는데 </t>
  </si>
  <si>
    <t xml:space="preserve">목적이 있다.</t>
  </si>
  <si>
    <t xml:space="preserve">가. 안전관리 조직구성 및 안전관리 활동의 적극적인 참여</t>
  </si>
  <si>
    <t xml:space="preserve">나. 쾌적한 작업환경 및 안전시설의 개선</t>
  </si>
  <si>
    <t xml:space="preserve">다. 근로자의 정신적 자세 확립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</si>
  <si>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안전점검대상</t>
    </r>
  </si>
  <si>
    <t xml:space="preserve">가. 안전관리 조직구성 및 안전관리 활동상태</t>
  </si>
  <si>
    <t xml:space="preserve">나. 작업장의 정리정돈 및 불안전한 작업실시</t>
  </si>
  <si>
    <t xml:space="preserve">다. 자재, 설비, 장비 및 차량운행의 점검 및 감독</t>
  </si>
  <si>
    <t xml:space="preserve">라. 위험물 취급 및 방화관리 상태</t>
  </si>
  <si>
    <t xml:space="preserve">마. 근로자들의 작업자세 확립과 반복적인 안전교육 실시상태</t>
  </si>
  <si>
    <t xml:space="preserve">바. 각종 안전보호용구 착용 및 기타 안전에 관한사항</t>
  </si>
  <si>
    <r>
      <rPr>
        <sz val="10"/>
        <color rgb="FF000000"/>
        <rFont val="맑은 고딕"/>
        <family val="3"/>
        <charset val="129"/>
      </rPr>
      <t xml:space="preserve">3) </t>
    </r>
    <r>
      <rPr>
        <sz val="10"/>
        <color rgb="FF000000"/>
        <rFont val="Noto Sans CJK SC"/>
        <family val="2"/>
      </rPr>
      <t xml:space="preserve">안전점검 종류 및 내용</t>
    </r>
  </si>
  <si>
    <t xml:space="preserve">가. 현장 자체점검 </t>
  </si>
  <si>
    <t xml:space="preserve">순</t>
  </si>
  <si>
    <t xml:space="preserve">구 분</t>
  </si>
  <si>
    <t xml:space="preserve">회 수</t>
  </si>
  <si>
    <t xml:space="preserve">안전점검의 내용</t>
  </si>
  <si>
    <t xml:space="preserve">비 고</t>
  </si>
  <si>
    <t xml:space="preserve">정기점검</t>
  </si>
  <si>
    <t xml:space="preserve">매월 1회 이상</t>
  </si>
  <si>
    <t xml:space="preserve">안전조직활동, 안전교육, 작업환경, 근로자작업자세등 전반적인 안전관리상태 확인</t>
  </si>
  <si>
    <t xml:space="preserve">수시점검</t>
  </si>
  <si>
    <t xml:space="preserve">수 시</t>
  </si>
  <si>
    <t xml:space="preserve">위험작업 및 사고발생예상지역에 대한 안전작업상태 확인</t>
  </si>
  <si>
    <t xml:space="preserve">특별점검</t>
  </si>
  <si>
    <t xml:space="preserve">점검사유
발생시</t>
  </si>
  <si>
    <t xml:space="preserve">천재지변, 작업 재개시등으로 작업시설 및 여건등의 안전이상 유무 점검</t>
  </si>
  <si>
    <t xml:space="preserve">작업전점검</t>
  </si>
  <si>
    <t xml:space="preserve">매일
작업전</t>
  </si>
  <si>
    <t xml:space="preserve">일상작업 개시전 작업환경시설, 장비등 작업여건 및 근로자의 작업방법 및 자세점검</t>
  </si>
  <si>
    <t xml:space="preserve">안전순찰</t>
  </si>
  <si>
    <t xml:space="preserve">매 일</t>
  </si>
  <si>
    <t xml:space="preserve">현장 전체의 이상유무에 대한 육안점검</t>
  </si>
  <si>
    <r>
      <rPr>
        <b val="true"/>
        <sz val="10"/>
        <color rgb="FF000000"/>
        <rFont val="맑은 고딕"/>
        <family val="3"/>
        <charset val="129"/>
      </rPr>
      <t xml:space="preserve">5-5. </t>
    </r>
    <r>
      <rPr>
        <b val="true"/>
        <sz val="10"/>
        <color rgb="FF000000"/>
        <rFont val="Noto Sans CJK SC"/>
        <family val="2"/>
      </rPr>
      <t xml:space="preserve">안전 관리 세부 계획</t>
    </r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</si>
  <si>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안전보건관리 총칙</t>
    </r>
  </si>
  <si>
    <r>
      <rPr>
        <sz val="10"/>
        <color rgb="FF000000"/>
        <rFont val="맑은 고딕"/>
        <family val="3"/>
        <charset val="129"/>
      </rPr>
      <t xml:space="preserve">(1) </t>
    </r>
    <r>
      <rPr>
        <sz val="10"/>
        <color rgb="FF000000"/>
        <rFont val="Noto Sans CJK SC"/>
        <family val="2"/>
      </rPr>
      <t xml:space="preserve">목적</t>
    </r>
  </si>
  <si>
    <t xml:space="preserve">안전보관관리에 관한 기준을 확립하여 산업재해를 예방하고 쾌적한 작업환경을 조성함으로써 </t>
  </si>
  <si>
    <t xml:space="preserve">근로자의 안전과 보건을 유지 ‧ 증진함을 목적으로 한다.</t>
  </si>
  <si>
    <r>
      <rPr>
        <sz val="10"/>
        <color rgb="FF000000"/>
        <rFont val="맑은 고딕"/>
        <family val="3"/>
        <charset val="129"/>
      </rPr>
      <t xml:space="preserve">(2) </t>
    </r>
    <r>
      <rPr>
        <sz val="10"/>
        <color rgb="FF000000"/>
        <rFont val="Noto Sans CJK SC"/>
        <family val="2"/>
      </rPr>
      <t xml:space="preserve">적용범위</t>
    </r>
  </si>
  <si>
    <t xml:space="preserve">사업장의 임직원과 기능직 사원, 협력업체 임직원 및 근로자를 대상으로 한다.</t>
  </si>
  <si>
    <r>
      <rPr>
        <sz val="10"/>
        <color rgb="FF000000"/>
        <rFont val="맑은 고딕"/>
        <family val="3"/>
        <charset val="129"/>
      </rPr>
      <t xml:space="preserve">(3) </t>
    </r>
    <r>
      <rPr>
        <sz val="10"/>
        <color rgb="FF000000"/>
        <rFont val="Noto Sans CJK SC"/>
        <family val="2"/>
      </rPr>
      <t xml:space="preserve">안전보건관리 조직</t>
    </r>
  </si>
  <si>
    <t xml:space="preserve">가. 안전보건에 관한 방침수립, 시행 및 본 지침의 효율적인 운영을 위해 현장에 안전보건 관리</t>
  </si>
  <si>
    <t xml:space="preserve">조직을 운영한다.</t>
  </si>
  <si>
    <t xml:space="preserve">나. 안전보건관리상 제반문제에 대한 능률적이고 효과적인 근본대책 수립을 위하여 안전보건</t>
  </si>
  <si>
    <t xml:space="preserve">위원회를 운영한다.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</si>
  <si>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적용범위</t>
    </r>
  </si>
  <si>
    <r>
      <rPr>
        <sz val="10"/>
        <color rgb="FF000000"/>
        <rFont val="맑은 고딕"/>
        <family val="3"/>
        <charset val="129"/>
      </rPr>
      <t xml:space="preserve">(1) </t>
    </r>
    <r>
      <rPr>
        <sz val="10"/>
        <color rgb="FF000000"/>
        <rFont val="Noto Sans CJK SC"/>
        <family val="2"/>
      </rPr>
      <t xml:space="preserve">본 조항은 건설공사의 안전 및 보건에 관한 내용을 규정하며 각 공사에 있어 다른 공사의 안전</t>
    </r>
  </si>
  <si>
    <t xml:space="preserve">사항과 관련이 있는 사항에 대해서는 각기 당해 공사의 기재 사항을 준용한다. </t>
  </si>
  <si>
    <r>
      <rPr>
        <sz val="10"/>
        <color rgb="FF000000"/>
        <rFont val="맑은 고딕"/>
        <family val="3"/>
        <charset val="129"/>
      </rPr>
      <t xml:space="preserve">(2) </t>
    </r>
    <r>
      <rPr>
        <sz val="10"/>
        <color rgb="FF000000"/>
        <rFont val="Noto Sans CJK SC"/>
        <family val="2"/>
      </rPr>
      <t xml:space="preserve">계약자는 이 시방서에서 규정하지 않은 사항에 대해서는 다음에 열거하는 작업지침에 의해 시행  </t>
    </r>
  </si>
  <si>
    <t xml:space="preserve">하되 명기되지 않은 사항은 발주자 또는 감리자의 지시에 따른다.</t>
  </si>
  <si>
    <t xml:space="preserve">① 가설공사 표준안전 작업지침</t>
  </si>
  <si>
    <t xml:space="preserve">② 콘크리트공사 표준안전 작업지침</t>
  </si>
  <si>
    <t xml:space="preserve">③ 굴착공사 표준안전 작업지침</t>
  </si>
  <si>
    <t xml:space="preserve">④ 철골공사 표준안전 작업지침</t>
  </si>
  <si>
    <t xml:space="preserve">⑤ 해체공사 표준안전 작업지침</t>
  </si>
  <si>
    <t xml:space="preserve">⑥ 건설기계 표준안전 작업지침</t>
  </si>
  <si>
    <t xml:space="preserve">⑦ 전기재해를 위한 기술상의 지침</t>
  </si>
  <si>
    <t xml:space="preserve">⑧ 건설공사 표준안전관리비 계산기준 및 사용기준</t>
  </si>
  <si>
    <t xml:space="preserve">⑨ 작업환경 측정방법</t>
  </si>
  <si>
    <t xml:space="preserve">⑩ 사업장 안전보건 관리규정</t>
  </si>
  <si>
    <t xml:space="preserve">⑪ 위험기계기구 방호조치 기준</t>
  </si>
  <si>
    <t xml:space="preserve">⑫ 크레인 등 측정기계 작업표준 신호</t>
  </si>
  <si>
    <r>
      <rPr>
        <sz val="10"/>
        <color rgb="FF000000"/>
        <rFont val="맑은 고딕"/>
        <family val="3"/>
        <charset val="129"/>
      </rPr>
      <t xml:space="preserve">3) </t>
    </r>
    <r>
      <rPr>
        <sz val="10"/>
        <color rgb="FF000000"/>
        <rFont val="Noto Sans CJK SC"/>
        <family val="2"/>
      </rPr>
      <t xml:space="preserve">공정 및 유해 위험방지 계획서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Noto Sans CJK SC"/>
        <family val="2"/>
      </rPr>
      <t xml:space="preserve">기술지도협약으로 대처</t>
    </r>
    <r>
      <rPr>
        <sz val="10"/>
        <color rgb="FF000000"/>
        <rFont val="맑은 고딕"/>
        <family val="3"/>
        <charset val="129"/>
      </rPr>
      <t xml:space="preserve">)</t>
    </r>
  </si>
  <si>
    <t xml:space="preserve">계약자는 산업안전보건법 제48조에 의거 유해 위험방지 계획서를 작성하여 관할 노동부의 승인을 </t>
  </si>
  <si>
    <t xml:space="preserve">득하고 이를 발주자 또는 감리자에게 제출하여야 한다.</t>
  </si>
  <si>
    <r>
      <rPr>
        <sz val="10"/>
        <color rgb="FF000000"/>
        <rFont val="맑은 고딕"/>
        <family val="3"/>
        <charset val="129"/>
      </rPr>
      <t xml:space="preserve">4) </t>
    </r>
    <r>
      <rPr>
        <sz val="10"/>
        <color rgb="FF000000"/>
        <rFont val="Noto Sans CJK SC"/>
        <family val="2"/>
      </rPr>
      <t xml:space="preserve">시공도의 안전</t>
    </r>
  </si>
  <si>
    <t xml:space="preserve">계약자는 시공상 필요한 도면 등을 지체 없이 제작하여 안전보건 총괄책임자의 승인을 얻어야 하며 </t>
  </si>
  <si>
    <t xml:space="preserve">이때 잠재 위험요인 도출 등 안전성에 대한 대책을 충분히 검토하여야 한다.</t>
  </si>
  <si>
    <r>
      <rPr>
        <sz val="10"/>
        <color rgb="FF000000"/>
        <rFont val="맑은 고딕"/>
        <family val="3"/>
        <charset val="129"/>
      </rPr>
      <t xml:space="preserve">5) </t>
    </r>
    <r>
      <rPr>
        <sz val="10"/>
        <color rgb="FF000000"/>
        <rFont val="Noto Sans CJK SC"/>
        <family val="2"/>
      </rPr>
      <t xml:space="preserve">공사장 안전관리와 안전관리비 사용계획 및 사용명세서</t>
    </r>
  </si>
  <si>
    <t xml:space="preserve">공사장의 안전관리는 산업안전보건법의 규정 및 기타 관계법규에 따라 철저히 이행 하여야 하며 </t>
  </si>
  <si>
    <t xml:space="preserve">안전관리비 이용계획 및 사용 명세서를 발주자 또는 감리자에게 서면보고 하고 다른 목적으로 사용</t>
  </si>
  <si>
    <t xml:space="preserve">하는 일이 없도록 하여야 한다.</t>
  </si>
  <si>
    <r>
      <rPr>
        <sz val="10"/>
        <color rgb="FF000000"/>
        <rFont val="맑은 고딕"/>
        <family val="3"/>
        <charset val="129"/>
      </rPr>
      <t xml:space="preserve">6) </t>
    </r>
    <r>
      <rPr>
        <sz val="10"/>
        <color rgb="FF000000"/>
        <rFont val="Noto Sans CJK SC"/>
        <family val="2"/>
      </rPr>
      <t xml:space="preserve">안전보건관계자의 직무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Noto Sans CJK SC"/>
        <family val="2"/>
      </rPr>
      <t xml:space="preserve">기술지도협약으로 대처</t>
    </r>
    <r>
      <rPr>
        <sz val="10"/>
        <color rgb="FF000000"/>
        <rFont val="맑은 고딕"/>
        <family val="3"/>
        <charset val="129"/>
      </rPr>
      <t xml:space="preserve">)</t>
    </r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</si>
  <si>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안전보건 관리책임자</t>
    </r>
  </si>
  <si>
    <t xml:space="preserve">안전보건관리책임자는 다음 각호의 사항을 총괄한다.</t>
  </si>
  <si>
    <t xml:space="preserve">가. 산업재해예방계획 수립에 관한사항</t>
  </si>
  <si>
    <t xml:space="preserve">나. 현장 안전보건관리규정의 작성에 관한사항</t>
  </si>
  <si>
    <t xml:space="preserve">다. 근로자의 안전‧보건교육에 관한사항</t>
  </si>
  <si>
    <t xml:space="preserve">라. 작업환경 측정 및 점검</t>
  </si>
  <si>
    <t xml:space="preserve">마. 근로자의 건강진단에 관한사항</t>
  </si>
  <si>
    <t xml:space="preserve">바. 산업재해원인조사 및 재발방지대책의 수립에 관한사항</t>
  </si>
  <si>
    <t xml:space="preserve">사. 산업재해에 관한 통계의 기록유지에 관한사항</t>
  </si>
  <si>
    <t xml:space="preserve">아. 안전장치 및 보호구 구입시 적격품 여부에 관한사항</t>
  </si>
  <si>
    <t xml:space="preserve">자. 산업안전보건 추진에 관한사항</t>
  </si>
  <si>
    <t xml:space="preserve">차. 무재해운동에 관한사항 </t>
  </si>
  <si>
    <t xml:space="preserve">카. 안전관리비 사용에 관한사항</t>
  </si>
  <si>
    <t xml:space="preserve">타. 기타 안전보건규칙에 정하는 근로자의 위험 또는 건강장해 방지에 관한사항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</si>
  <si>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안전담당자</t>
    </r>
  </si>
  <si>
    <t xml:space="preserve">가. 작업장내 유해한 기계의 안전장치 및 보호구 구입시 적격품 선정</t>
  </si>
  <si>
    <t xml:space="preserve">나. 당해 사업장의 안전보건관리 규정에서 정한직무</t>
  </si>
  <si>
    <t xml:space="preserve">다. 사업장의 순회점검 및 지도조치</t>
  </si>
  <si>
    <t xml:space="preserve">라. 산업재해 발생의 원인조사 및 대책수립</t>
  </si>
  <si>
    <t xml:space="preserve">마. 당해 사업장의 안전교육계획의 수립 및 실시</t>
  </si>
  <si>
    <t xml:space="preserve">바. 기타 안전에 관한 사항으로서 노동부 장관이 정하는 사항</t>
  </si>
  <si>
    <r>
      <rPr>
        <sz val="10"/>
        <color rgb="FF000000"/>
        <rFont val="맑은 고딕"/>
        <family val="3"/>
        <charset val="129"/>
      </rPr>
      <t xml:space="preserve">7) </t>
    </r>
    <r>
      <rPr>
        <sz val="10"/>
        <color rgb="FF000000"/>
        <rFont val="Noto Sans CJK SC"/>
        <family val="2"/>
      </rPr>
      <t xml:space="preserve">개인보호구 및 보호장비</t>
    </r>
  </si>
  <si>
    <t xml:space="preserve">근로자가 신체의 일부에 직접 착용하여 각종 물리적, 화학적 위험요소로부터 신체를 보호하기 </t>
  </si>
  <si>
    <t xml:space="preserve">위하여 착용한다. 인체에 미치는 각종 위험으로부터 보호하기위한 소극적 보호방법이 보호구 착용</t>
  </si>
  <si>
    <t xml:space="preserve">이며 적극적인 대책을 강구하여야 한다.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</si>
  <si>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보호구의 정의 및 일반사항 </t>
    </r>
  </si>
  <si>
    <t xml:space="preserve">가. 보호구는 다음과 같은 구비조건을 갖추어야 한다.</t>
  </si>
  <si>
    <r>
      <rPr>
        <sz val="10"/>
        <color rgb="FF000000"/>
        <rFont val="맑은 고딕"/>
        <family val="3"/>
        <charset val="129"/>
      </rPr>
      <t xml:space="preserve">(1) </t>
    </r>
    <r>
      <rPr>
        <sz val="10"/>
        <color rgb="FF000000"/>
        <rFont val="Noto Sans CJK SC"/>
        <family val="2"/>
      </rPr>
      <t xml:space="preserve">착용이 간편해야 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</si>
  <si>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(2) </t>
    </r>
    <r>
      <rPr>
        <sz val="10"/>
        <color rgb="FF000000"/>
        <rFont val="Noto Sans CJK SC"/>
        <family val="2"/>
      </rPr>
      <t xml:space="preserve">작업에 방해가 안 되도록 해야 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</si>
  <si>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(3) </t>
    </r>
    <r>
      <rPr>
        <sz val="10"/>
        <color rgb="FF000000"/>
        <rFont val="Noto Sans CJK SC"/>
        <family val="2"/>
      </rPr>
      <t xml:space="preserve">재료의 품질이 우수해야 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</si>
  <si>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(4) </t>
    </r>
    <r>
      <rPr>
        <sz val="10"/>
        <color rgb="FF000000"/>
        <rFont val="Noto Sans CJK SC"/>
        <family val="2"/>
      </rPr>
      <t xml:space="preserve">구조와 끝마무리가 양호해야 한다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</si>
  <si>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(5) </t>
    </r>
    <r>
      <rPr>
        <sz val="10"/>
        <color rgb="FF000000"/>
        <rFont val="Noto Sans CJK SC"/>
        <family val="2"/>
      </rPr>
      <t xml:space="preserve">유해․위험요소에 방호성능이 충분해야 한다</t>
    </r>
    <r>
      <rPr>
        <sz val="10"/>
        <color rgb="FF000000"/>
        <rFont val="맑은 고딕"/>
        <family val="3"/>
        <charset val="129"/>
      </rPr>
      <t xml:space="preserve">.</t>
    </r>
  </si>
  <si>
    <t xml:space="preserve">나. 보호구의 선택 및 사용방법</t>
  </si>
  <si>
    <r>
      <rPr>
        <sz val="10"/>
        <color rgb="FF000000"/>
        <rFont val="맑은 고딕"/>
        <family val="3"/>
        <charset val="129"/>
      </rPr>
      <t xml:space="preserve">(1) </t>
    </r>
    <r>
      <rPr>
        <sz val="10"/>
        <color rgb="FF000000"/>
        <rFont val="Noto Sans CJK SC"/>
        <family val="2"/>
      </rPr>
      <t xml:space="preserve">적절한 보호구의 선택</t>
    </r>
  </si>
  <si>
    <t xml:space="preserve">① 변화가 심한 작업장 주변상황에 철저히 대비할 수 있는 성능을 유지해야 한다 </t>
  </si>
  <si>
    <t xml:space="preserve">② 착용하고 작업할 때 편안한 느낌이 들어야 한다.</t>
  </si>
  <si>
    <t xml:space="preserve">③ 기타 보호구의 구비조건을 갖추어야 한다.</t>
  </si>
  <si>
    <r>
      <rPr>
        <sz val="10"/>
        <color rgb="FF000000"/>
        <rFont val="맑은 고딕"/>
        <family val="3"/>
        <charset val="129"/>
      </rPr>
      <t xml:space="preserve">(2) </t>
    </r>
    <r>
      <rPr>
        <sz val="10"/>
        <color rgb="FF000000"/>
        <rFont val="Noto Sans CJK SC"/>
        <family val="2"/>
      </rPr>
      <t xml:space="preserve">사용방법</t>
    </r>
  </si>
  <si>
    <t xml:space="preserve">보호구는 근로자가 직접 착용하고 작업하여야 하며 근로자의 의무 준수사항이기도 하며 </t>
  </si>
  <si>
    <t xml:space="preserve">만약 근로자 가 미착용 상태에서 작업중 재해가 발생시 사업주가 반드시 책임을 지게 되므로</t>
  </si>
  <si>
    <t xml:space="preserve"> 반드시 착용후 작업 하여야 한다.</t>
  </si>
  <si>
    <t xml:space="preserve">다. 보호구의 종류 및 준수사항</t>
  </si>
  <si>
    <r>
      <rPr>
        <sz val="10"/>
        <color rgb="FF000000"/>
        <rFont val="맑은 고딕"/>
        <family val="3"/>
        <charset val="129"/>
      </rPr>
      <t xml:space="preserve">(1) </t>
    </r>
    <r>
      <rPr>
        <sz val="10"/>
        <color rgb="FF000000"/>
        <rFont val="Noto Sans CJK SC"/>
        <family val="2"/>
      </rPr>
      <t xml:space="preserve">안전모</t>
    </r>
  </si>
  <si>
    <t xml:space="preserve">① 공사장에 출입하는 인원에 대하여 물체가 머리위로 떨어지거나, 넘어 지거나, 추락하여 </t>
  </si>
  <si>
    <t xml:space="preserve">머리를 부상케될 위험을 방지할 수 있는 안전모를 착용하여야 한다.</t>
  </si>
  <si>
    <t xml:space="preserve">② 안전모는 노동부 정품이어야 한다.</t>
  </si>
  <si>
    <t xml:space="preserve">③ 작업성질에 적당한 안전모를 착용하여야 한다.</t>
  </si>
  <si>
    <t xml:space="preserve">④ 모든 작업장에 근무하는 자와 출입하는 자는 지위고하를 막논하고 안전모를 착용하여야 </t>
  </si>
  <si>
    <t xml:space="preserve">한다.</t>
  </si>
  <si>
    <t xml:space="preserve">⑤ 안전모를 착용하고 턱끈을 매야한다.</t>
  </si>
  <si>
    <t xml:space="preserve">⑥ 출입구 또는 부딛칠수 있는 장소에는 안전모를 쓰도록 표시판을 부착하여야 한다.</t>
  </si>
  <si>
    <t xml:space="preserve">⑦ 전선, 전기구 등 전기가 통하는 작업원은 절연용 안전모를 착용하여야 한다.</t>
  </si>
  <si>
    <r>
      <rPr>
        <sz val="10"/>
        <color rgb="FF000000"/>
        <rFont val="맑은 고딕"/>
        <family val="3"/>
        <charset val="129"/>
      </rPr>
      <t xml:space="preserve">(2) </t>
    </r>
    <r>
      <rPr>
        <sz val="10"/>
        <color rgb="FF000000"/>
        <rFont val="Noto Sans CJK SC"/>
        <family val="2"/>
      </rPr>
      <t xml:space="preserve">안전화 </t>
    </r>
  </si>
  <si>
    <t xml:space="preserve">①작업장내에서 뾰족한 물체에 발이 찔리거나 미끄러져 넘어지는 경우와 물체를 놓쳐 발에 </t>
  </si>
  <si>
    <t xml:space="preserve">떨어져 부상할 수 있는 위험을 방지할 수 있는 안전화를 착용하여야 한다.</t>
  </si>
  <si>
    <t xml:space="preserve">② 작업 성질에 적당한 안전화를 착용하여야 한다.</t>
  </si>
  <si>
    <t xml:space="preserve">③ 고무신, 슬리퍼 등을 착용해서는 안된다.</t>
  </si>
  <si>
    <t xml:space="preserve">④ 끈이 부착된 작업화는 끈을 매고, 끈이 너덜거려서는 아니된다.</t>
  </si>
  <si>
    <t xml:space="preserve">⑤ 착용전에 이상 유무를 점검확인 하여야 한다.</t>
  </si>
  <si>
    <t xml:space="preserve">⑥ 뾰족한 물체가 산재한 장소에는, 밑창이 단단한 안전화여야 한다. </t>
  </si>
  <si>
    <t xml:space="preserve">⑦ 미끄러질 수 있는 장소에는, 밑창이 유연하고 단단한 안전화여야 한다.</t>
  </si>
  <si>
    <t xml:space="preserve">⑧ 물체를 손으로 또는 간단한 공구로 운반할때는 작업화 배부가 단단하여야 한다.</t>
  </si>
  <si>
    <t xml:space="preserve">⑨ 수작업을 하는 작업에 있어서는 방수화를 착용하여야 한다</t>
  </si>
  <si>
    <t xml:space="preserve">⑩ 이물질이 튕겨 작업화속으로 들어가 부상할 수 있을때는 작업화 목이 긴 것을 착용하여야 </t>
  </si>
  <si>
    <t xml:space="preserve">⑪ 전기가 통전될 수 있는 작업장에는 절연화를 착용해야 한다.</t>
  </si>
  <si>
    <t xml:space="preserve">⑫ 독성과 열이 강한 작업장에는 독성방지용과 열방지용 장화를 착용하여야 한다.</t>
  </si>
  <si>
    <r>
      <rPr>
        <sz val="10"/>
        <color rgb="FF000000"/>
        <rFont val="맑은 고딕"/>
        <family val="3"/>
        <charset val="129"/>
      </rPr>
      <t xml:space="preserve">8) </t>
    </r>
    <r>
      <rPr>
        <sz val="10"/>
        <color rgb="FF000000"/>
        <rFont val="Noto Sans CJK SC"/>
        <family val="2"/>
      </rPr>
      <t xml:space="preserve">사무실 및 작업장</t>
    </r>
  </si>
  <si>
    <t xml:space="preserve">정리정돈 및 청결은 안전하고, 쾌적하고, 건강한 직장을 만드는 기본사항으로 생산성향상, 자원의  </t>
  </si>
  <si>
    <t xml:space="preserve">절약, 좋은 환경유지에 영향을 미친다.</t>
  </si>
  <si>
    <t xml:space="preserve">정리정돈 철저 실시로 낙하 비래 및 운반 중 일어나는 재해는 예방이 가능하다.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</si>
  <si>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사무실</t>
    </r>
  </si>
  <si>
    <t xml:space="preserve">가. 책상속, 책상 밑에는 지저분한 것들이 숨겨져 있으면 안된다.</t>
  </si>
  <si>
    <t xml:space="preserve">나. 케비넷 속 각종 양식은 규격대로 분류되어 있고 양식이름을 부착한다.</t>
  </si>
  <si>
    <t xml:space="preserve">다. 사보, 신문 등은 함부로 팽개쳐 있지 않도록 한다.</t>
  </si>
  <si>
    <t xml:space="preserve">라. 전화선은 바닥에 어지럽게 널려있거나 의자에 걸리지 않도록 한다.</t>
  </si>
  <si>
    <t xml:space="preserve">마. 책상내 볼펜 등을 과다하게 보유하지 않으며 정리정돈을 해 둔다.</t>
  </si>
  <si>
    <t xml:space="preserve">바. 휴지통은 적절히 비치 시킨다.</t>
  </si>
  <si>
    <t xml:space="preserve">사. 사무실의 모든 집기는 정위치에 놓여져 있으며 깨끗하게 유지한다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</si>
  <si>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작업장</t>
    </r>
  </si>
  <si>
    <t xml:space="preserve">작업장이나 통행로에 일체의 물건은 정리정돈이 되도록 한다. 작업장내 주변은 수시로 청소를 </t>
  </si>
  <si>
    <t xml:space="preserve">하고 필요 한 장서에는 소독약 등을 살포하여 청결한 상태로 유지하여야 한다.</t>
  </si>
  <si>
    <t xml:space="preserve">가. 포대나 통에 담긴 자재를 쌓을 때는 미끄러지거나 무너지지 않고 안정되게 놓이도록 서로 </t>
  </si>
  <si>
    <t xml:space="preserve">연결시켜 쌓아야 하며 높이는 안전하게 제한하여야 한다.</t>
  </si>
  <si>
    <t xml:space="preserve">나. 통로상에는 자재를 쌓아야 할 경우 통행에 방해가 되지 않도록 하고 주의표지, 조명등을 </t>
  </si>
  <si>
    <t xml:space="preserve">설치하여야 한다. </t>
  </si>
  <si>
    <t xml:space="preserve">다. 가연성 액체, 휘발유 등은 금연구역에 저장하고 다른 자재와 격리시켜야한다.</t>
  </si>
  <si>
    <t xml:space="preserve">라. 자재를 쌓는 받침, 마루바닥은 평탄하고 침하가 안되는 곳에 적재하여야 한다.</t>
  </si>
  <si>
    <r>
      <rPr>
        <sz val="10"/>
        <color rgb="FF000000"/>
        <rFont val="맑은 고딕"/>
        <family val="3"/>
        <charset val="129"/>
      </rPr>
      <t xml:space="preserve">9) </t>
    </r>
    <r>
      <rPr>
        <sz val="10"/>
        <color rgb="FF000000"/>
        <rFont val="Noto Sans CJK SC"/>
        <family val="2"/>
      </rPr>
      <t xml:space="preserve">감전 예방대책</t>
    </r>
  </si>
  <si>
    <t xml:space="preserve">국내 각 현장에서 운영하고 있는 공사용 임시 전력 시설을 보다 합리적으로 설치 관리하고 </t>
  </si>
  <si>
    <t xml:space="preserve">각종 전기자 재를 표준화하여 사용함으로써 전기안전사고를 사전에 방지하고 전력낭비를 극소 </t>
  </si>
  <si>
    <t xml:space="preserve">하는데 있다.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</si>
  <si>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각종 전기기기 설치기준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Noto Sans CJK SC"/>
        <family val="2"/>
      </rPr>
      <t xml:space="preserve">공사용 임시 전력</t>
    </r>
    <r>
      <rPr>
        <sz val="10"/>
        <color rgb="FF000000"/>
        <rFont val="맑은 고딕"/>
        <family val="3"/>
        <charset val="129"/>
      </rPr>
      <t xml:space="preserve">)</t>
    </r>
  </si>
  <si>
    <t xml:space="preserve">가. 사무실 및 기타숙소</t>
  </si>
  <si>
    <t xml:space="preserve">사무실 및 숙소는 규정품의 ELB를 사용하고 매주 누전차단기를 시험하여 작동여부를 확인한다. </t>
  </si>
  <si>
    <t xml:space="preserve">숙소 내 전열기의 사용은 가능한 제한하며 부득이 사용시는 규격품을 사용하되 전기공구장의 </t>
  </si>
  <si>
    <t xml:space="preserve">승인 후 극히 제한적으로 사용한다.</t>
  </si>
  <si>
    <t xml:space="preserve">나. 현장 사용기기</t>
  </si>
  <si>
    <t xml:space="preserve">각종 MOTOR(수중PUMP), 용접기등의 PORTABLE 전기기기에는 반드시 고무절 연전(켑타이어 </t>
  </si>
  <si>
    <t xml:space="preserve">케이블)을 사용하여, 필히 접지가 되도록 하며 용접기 사용시는 용접기기의 용량에 맞는 </t>
  </si>
  <si>
    <t xml:space="preserve">전격방지기를 사용하여, 감전예방 및 전기요금을 절감 하도록 한다.</t>
  </si>
  <si>
    <t xml:space="preserve">다. 전기제반 안전</t>
  </si>
  <si>
    <t xml:space="preserve">① 현장의 모든전기 시설물은 전기공구장은 책임하에 관리한다.</t>
  </si>
  <si>
    <t xml:space="preserve">② 전기안전일지를 매일 작성하여 공구장 관리부장 소장의 결재를 득한다.</t>
  </si>
  <si>
    <t xml:space="preserve">③ 전기재료는 “KS규격품”이나 “전”자가 표시되어있는 제품을 사용하여야 하며 용량에 맞는 </t>
  </si>
  <si>
    <t xml:space="preserve">규격품 을 사용한다.</t>
  </si>
  <si>
    <t xml:space="preserve">④ 고압선 접근작업은 위험하므로 정전후 작업토록하고, 작업시에는 반드시 유도 전류에 의한 </t>
  </si>
  <si>
    <t xml:space="preserve">방호안전 시설을 설치후 작업토록 하여야 한다.</t>
  </si>
  <si>
    <t xml:space="preserve">⑤ 전기 사용중에 정전이 되었을 경우는 운전중인 기기의 스위치를 반드시 끈다.</t>
  </si>
  <si>
    <t xml:space="preserve">⑥ 전기 기계기구의 조작은 안전조작 순서대로 진행되어야 하며 스위치를 끄고 작업할 시에는 </t>
  </si>
  <si>
    <t xml:space="preserve">스위치에 ‘투입금지’ 표찰을 걸어둔다.</t>
  </si>
  <si>
    <t xml:space="preserve">⑦ 정전작업시에는 검전기로 통전유무를 확인한 다음 정전 작업구간은 꼭 접지 시킨다.</t>
  </si>
  <si>
    <t xml:space="preserve">⑧ 가설 전기공사 옥외 시설물에 로맥스 전선의 사용은 일체 금한다.</t>
  </si>
  <si>
    <t xml:space="preserve">⑨ 작업종료 퇴근시 불필요한 전원은 필히 끈다.</t>
  </si>
  <si>
    <r>
      <rPr>
        <b val="true"/>
        <sz val="10"/>
        <color rgb="FF000000"/>
        <rFont val="맑은 고딕"/>
        <family val="3"/>
        <charset val="129"/>
      </rPr>
      <t xml:space="preserve">5-6. </t>
    </r>
    <r>
      <rPr>
        <b val="true"/>
        <sz val="10"/>
        <color rgb="FF000000"/>
        <rFont val="Noto Sans CJK SC"/>
        <family val="2"/>
      </rPr>
      <t xml:space="preserve">통행안전시설 설치 및 교통소통대책</t>
    </r>
  </si>
  <si>
    <r>
      <rPr>
        <sz val="10"/>
        <color theme="1"/>
        <rFont val="맑은 고딕"/>
        <family val="3"/>
        <charset val="129"/>
      </rPr>
      <t xml:space="preserve">1) </t>
    </r>
    <r>
      <rPr>
        <sz val="10"/>
        <color theme="1"/>
        <rFont val="Noto Sans CJK SC"/>
        <family val="2"/>
      </rPr>
      <t xml:space="preserve">통행안전시설 설치</t>
    </r>
  </si>
  <si>
    <t xml:space="preserve">① 각종 표지판, 안내판, 조명등, 유도등 및 경보장치 등 통행안전시설물을 설치한다.</t>
  </si>
  <si>
    <t xml:space="preserve">② 사용중인 도로에 접한 현장출입구 단차, 빈틈 또는 미끄럼 방지를 위한 안전시설물을</t>
  </si>
  <si>
    <t xml:space="preserve">   설치한다.</t>
  </si>
  <si>
    <t xml:space="preserve">③ 설치된 안전시설물에 대한 정기점검을 실시한다.</t>
  </si>
  <si>
    <t xml:space="preserve">④ 손상, 유실, 작동이상 등 안전시설물에 대한 보수관리를 한다.</t>
  </si>
  <si>
    <r>
      <rPr>
        <sz val="10"/>
        <color theme="1"/>
        <rFont val="맑은 고딕"/>
        <family val="3"/>
        <charset val="129"/>
      </rPr>
      <t xml:space="preserve">2) </t>
    </r>
    <r>
      <rPr>
        <sz val="10"/>
        <color theme="1"/>
        <rFont val="Noto Sans CJK SC"/>
        <family val="2"/>
      </rPr>
      <t xml:space="preserve">교통소통대책</t>
    </r>
  </si>
  <si>
    <t xml:space="preserve">① 공사현장 주변의 도로상황을 파악한다.</t>
  </si>
  <si>
    <t xml:space="preserve">② 공사 현장과 기존도로에 연결하는 가설도로, 운반로 등의 공사용도로를 설치한다.</t>
  </si>
  <si>
    <t xml:space="preserve">③ 현장이 기존도로를 점용하는 경우 도로 점용부분의 현황 및 원활한 소통을 위한 </t>
  </si>
  <si>
    <t xml:space="preserve">    별도의 대책을 강구한다.</t>
  </si>
  <si>
    <t xml:space="preserve">④ 유도원, 교통안내원을 배치한다.</t>
  </si>
  <si>
    <t xml:space="preserve">⑤ 교통소통에 지장이 되는 공사현장의 작업장, 장비, 자재 등의 장애물을 제거하여</t>
  </si>
  <si>
    <t xml:space="preserve">    원활한 교통소통이 이루어지도록 한다.</t>
  </si>
  <si>
    <r>
      <rPr>
        <b val="true"/>
        <sz val="10"/>
        <color theme="1"/>
        <rFont val="맑은 고딕"/>
        <family val="3"/>
        <charset val="129"/>
      </rPr>
      <t xml:space="preserve">5-7. </t>
    </r>
    <r>
      <rPr>
        <b val="true"/>
        <sz val="10"/>
        <color theme="1"/>
        <rFont val="Noto Sans CJK SC"/>
        <family val="2"/>
      </rPr>
      <t xml:space="preserve">안전교육계획</t>
    </r>
  </si>
  <si>
    <r>
      <rPr>
        <sz val="10"/>
        <color theme="1"/>
        <rFont val="맑은 고딕"/>
        <family val="3"/>
        <charset val="129"/>
      </rPr>
      <t xml:space="preserve">1) </t>
    </r>
    <r>
      <rPr>
        <sz val="10"/>
        <color theme="1"/>
        <rFont val="Noto Sans CJK SC"/>
        <family val="2"/>
      </rPr>
      <t xml:space="preserve">정기 안전교육</t>
    </r>
  </si>
  <si>
    <t xml:space="preserve">가. 교육대상 : 근로자 (현장내 전체 기술자, 작업자 및 직원)</t>
  </si>
  <si>
    <t xml:space="preserve">나. 교육시기 및 시간 : 매월 2시간 이상</t>
  </si>
  <si>
    <t xml:space="preserve">다. 교육내용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</si>
  <si>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산업안전보건법령에 관한 사항</t>
    </r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</si>
  <si>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작업공정의 유해․위험에 관한 사항</t>
    </r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</si>
  <si>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표준안전 작업방법에 관한 사항</t>
    </r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</si>
  <si>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보호구 및 안전장치취급과 사용에 관한 사항</t>
    </r>
  </si>
  <si>
    <r>
      <rPr>
        <sz val="10"/>
        <color theme="1"/>
        <rFont val="맑은 고딕"/>
        <family val="3"/>
        <charset val="129"/>
      </rPr>
      <t xml:space="preserve">(5) </t>
    </r>
    <r>
      <rPr>
        <sz val="10"/>
        <color theme="1"/>
        <rFont val="Noto Sans CJK SC"/>
        <family val="2"/>
      </rPr>
      <t xml:space="preserve">안전사고사례 및 산업재해예방대책에 관한 사항</t>
    </r>
  </si>
  <si>
    <r>
      <rPr>
        <sz val="10"/>
        <color theme="1"/>
        <rFont val="맑은 고딕"/>
        <family val="3"/>
        <charset val="129"/>
      </rPr>
      <t xml:space="preserve">(6) </t>
    </r>
    <r>
      <rPr>
        <sz val="10"/>
        <color theme="1"/>
        <rFont val="Noto Sans CJK SC"/>
        <family val="2"/>
      </rPr>
      <t xml:space="preserve">근로자 건강증진 및 산업간호에 관한 사항</t>
    </r>
  </si>
  <si>
    <r>
      <rPr>
        <sz val="10"/>
        <color theme="1"/>
        <rFont val="맑은 고딕"/>
        <family val="3"/>
        <charset val="129"/>
      </rPr>
      <t xml:space="preserve">(7) </t>
    </r>
    <r>
      <rPr>
        <sz val="10"/>
        <color theme="1"/>
        <rFont val="Noto Sans CJK SC"/>
        <family val="2"/>
      </rPr>
      <t xml:space="preserve">물질안전보건자료에 관한 사항</t>
    </r>
  </si>
  <si>
    <r>
      <rPr>
        <sz val="10"/>
        <color theme="1"/>
        <rFont val="맑은 고딕"/>
        <family val="3"/>
        <charset val="129"/>
      </rPr>
      <t xml:space="preserve">(8) </t>
    </r>
    <r>
      <rPr>
        <sz val="10"/>
        <color theme="1"/>
        <rFont val="Noto Sans CJK SC"/>
        <family val="2"/>
      </rPr>
      <t xml:space="preserve">기타 안전․보건관리에 관한 사항</t>
    </r>
  </si>
  <si>
    <t xml:space="preserve">라. 교육 담당자 : 안전관리 총괄책임자</t>
  </si>
  <si>
    <r>
      <rPr>
        <sz val="10"/>
        <color theme="1"/>
        <rFont val="맑은 고딕"/>
        <family val="3"/>
        <charset val="129"/>
      </rPr>
      <t xml:space="preserve">2) </t>
    </r>
    <r>
      <rPr>
        <sz val="10"/>
        <color theme="1"/>
        <rFont val="Noto Sans CJK SC"/>
        <family val="2"/>
      </rPr>
      <t xml:space="preserve">일상안전교육</t>
    </r>
  </si>
  <si>
    <t xml:space="preserve">가. 교육대상 : 현장내 당일 공사 작업자</t>
  </si>
  <si>
    <t xml:space="preserve">나. 교육시기 및 시간 : 매일 공사 착수전 10분 이상</t>
  </si>
  <si>
    <t xml:space="preserve">당일 작업의 공법 이해, 시공상세도면에 따른 세부시공순서 및 주의사항에 대한 교육으로서 </t>
  </si>
  <si>
    <t xml:space="preserve">당일 작업의 특성에 따라 다음 내용을 설정한다.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</si>
  <si>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가설공사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</si>
  <si>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가시설물 설치 및 조립순서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유지관리방법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</si>
  <si>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지지대 보강 및 조립부위 결속방법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</si>
  <si>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가설물 위의 적치하중에 관한 사항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</si>
  <si>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기타 필요한 사항</t>
    </r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</si>
  <si>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콘크리트 공사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</si>
  <si>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콘크리트 치기수서 및 이어붓기 계획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</si>
  <si>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벽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바닥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보의 치기 방법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</si>
  <si>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시공이음등에 대한 주의사항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</si>
  <si>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거푸집 존치 기간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</si>
  <si>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거푸집 표면 정리</t>
    </r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</si>
  <si>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해체공사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</si>
  <si>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구조재의 부식 및 접합상태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</si>
  <si>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재료특성 및 화재예방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</si>
  <si>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해체작업시의 상 ․ 하간의 연락방법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</si>
  <si>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장비 이동시의 유도원의 배치</t>
    </r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</si>
  <si>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공사장 주변 통행안전 및 교통소통대책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</si>
  <si>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차량 및 보행자의 유도를 위한 각종 표지판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안내판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경보장치의 설치 및 보수 ․ 관리방법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</si>
  <si>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복공판 설치 및 보수 ․ 관리방법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</si>
  <si>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신호수 배치기준 및 신호방법</t>
    </r>
  </si>
  <si>
    <t xml:space="preserve">라. 교육담당자 : 분야별 책임자, 담당자</t>
  </si>
  <si>
    <r>
      <rPr>
        <sz val="10"/>
        <color theme="1"/>
        <rFont val="맑은 고딕"/>
        <family val="3"/>
        <charset val="129"/>
      </rPr>
      <t xml:space="preserve">3) </t>
    </r>
    <r>
      <rPr>
        <sz val="10"/>
        <color theme="1"/>
        <rFont val="Noto Sans CJK SC"/>
        <family val="2"/>
      </rPr>
      <t xml:space="preserve">신규 채용시 교육</t>
    </r>
  </si>
  <si>
    <t xml:space="preserve">가. 교육대상 : 신규 채용 근로자</t>
  </si>
  <si>
    <t xml:space="preserve">나. 교육시간 : 채용시 1시간 이상</t>
  </si>
  <si>
    <t xml:space="preserve">다. 교육내용 </t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</si>
  <si>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산업안전보건법령에 관한 사항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</si>
  <si>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해당 설비․기계 및 기구의 작업안전점검에 관한 사항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</si>
  <si>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기계기구의 위험성과 안전작업방법에 관한 사항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</si>
  <si>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근로자 건강증진 및 산업간호에 관한 사항</t>
    </r>
  </si>
  <si>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기타 안전․보건관리에 관한 사항</t>
    </r>
  </si>
  <si>
    <r>
      <rPr>
        <sz val="10"/>
        <color theme="1"/>
        <rFont val="맑은 고딕"/>
        <family val="3"/>
        <charset val="129"/>
      </rPr>
      <t xml:space="preserve">4) </t>
    </r>
    <r>
      <rPr>
        <sz val="10"/>
        <color theme="1"/>
        <rFont val="Noto Sans CJK SC"/>
        <family val="2"/>
      </rPr>
      <t xml:space="preserve">작업내용 변경시 교육</t>
    </r>
  </si>
  <si>
    <t xml:space="preserve">가. 근로자의 작업내용 변경시 해당 근로자</t>
  </si>
  <si>
    <t xml:space="preserve">나. 교육시간 : 작업내용 변경시 1시간 이상</t>
  </si>
  <si>
    <t xml:space="preserve">다. 교육내용 : 신규채용시 교육과 동일.</t>
  </si>
  <si>
    <r>
      <rPr>
        <sz val="10"/>
        <color theme="1"/>
        <rFont val="맑은 고딕"/>
        <family val="3"/>
        <charset val="129"/>
      </rPr>
      <t xml:space="preserve">5) </t>
    </r>
    <r>
      <rPr>
        <sz val="10"/>
        <color theme="1"/>
        <rFont val="Noto Sans CJK SC"/>
        <family val="2"/>
      </rPr>
      <t xml:space="preserve">특별안전교육 </t>
    </r>
  </si>
  <si>
    <t xml:space="preserve">가. 교육대상 : 안전담당자를 지정해야 하는 작업을 수행하는 근로자</t>
  </si>
  <si>
    <t xml:space="preserve">나. 교육시간 : 년 2시간 이상</t>
  </si>
  <si>
    <t xml:space="preserve">다. 교육내용 : 당해 작업과 관련된 안전, 보건 사항</t>
  </si>
  <si>
    <t xml:space="preserve">라. 취업제한 : 특별교육을 받지 않은 자를 당해 작업에 종사시켜서는 안된다.</t>
  </si>
  <si>
    <r>
      <rPr>
        <sz val="10"/>
        <color theme="1"/>
        <rFont val="맑은 고딕"/>
        <family val="3"/>
        <charset val="129"/>
      </rPr>
      <t xml:space="preserve">6) </t>
    </r>
    <r>
      <rPr>
        <sz val="10"/>
        <color theme="1"/>
        <rFont val="Noto Sans CJK SC"/>
        <family val="2"/>
      </rPr>
      <t xml:space="preserve">협력업체 안전관리 교육</t>
    </r>
  </si>
  <si>
    <t xml:space="preserve">가. 교육대상 : 분야별 책임자, 담당자, 하도급업체의 안전관리 관계자</t>
  </si>
  <si>
    <t xml:space="preserve">나. 교육시간 : 2주마다 1회이상, 1회 1시간 이상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</si>
  <si>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안전사고 사례 교육</t>
    </r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</si>
  <si>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시공사의 안전관리 기술</t>
    </r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</si>
  <si>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건설안전관련법규</t>
    </r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</si>
  <si>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안전사고로 인한 손실</t>
    </r>
  </si>
  <si>
    <r>
      <rPr>
        <sz val="10"/>
        <color theme="1"/>
        <rFont val="맑은 고딕"/>
        <family val="3"/>
        <charset val="129"/>
      </rPr>
      <t xml:space="preserve">(5) </t>
    </r>
    <r>
      <rPr>
        <sz val="10"/>
        <color theme="1"/>
        <rFont val="Noto Sans CJK SC"/>
        <family val="2"/>
      </rPr>
      <t xml:space="preserve">안전관리사의 의무</t>
    </r>
  </si>
  <si>
    <t xml:space="preserve">라. 교육담당자 : 안전관리 총괄책임자</t>
  </si>
  <si>
    <r>
      <rPr>
        <b val="true"/>
        <sz val="10"/>
        <color theme="1"/>
        <rFont val="맑은 고딕"/>
        <family val="3"/>
        <charset val="129"/>
      </rPr>
      <t xml:space="preserve">5-8. </t>
    </r>
    <r>
      <rPr>
        <b val="true"/>
        <sz val="10"/>
        <color theme="1"/>
        <rFont val="Noto Sans CJK SC"/>
        <family val="2"/>
      </rPr>
      <t xml:space="preserve">비상시 긴급조치계획</t>
    </r>
  </si>
  <si>
    <r>
      <rPr>
        <sz val="10"/>
        <color theme="1"/>
        <rFont val="맑은 고딕"/>
        <family val="3"/>
        <charset val="129"/>
      </rPr>
      <t xml:space="preserve">1) </t>
    </r>
    <r>
      <rPr>
        <sz val="10"/>
        <color theme="1"/>
        <rFont val="Noto Sans CJK SC"/>
        <family val="2"/>
      </rPr>
      <t xml:space="preserve">건설공사 비상사태의 범위</t>
    </r>
  </si>
  <si>
    <t xml:space="preserve">현장에서 발생 가능한 비상사태는 다음과 같다.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</si>
  <si>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붕괴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폭발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가스누출 등에 의한 작업자․시설물 및 인근지역에 악영향의 우려가 있는 경우</t>
    </r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</si>
  <si>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호우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강풍 등의 천재지변</t>
    </r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</si>
  <si>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인근지역에서 발생한 비상사태가 현장에 파급효과의 우려가 있는 경우</t>
    </r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</si>
  <si>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기타 인명 및 시설물에 치명적인 영향이 우려되는 경우</t>
    </r>
  </si>
  <si>
    <r>
      <rPr>
        <sz val="10"/>
        <color theme="1"/>
        <rFont val="맑은 고딕"/>
        <family val="3"/>
        <charset val="129"/>
      </rPr>
      <t xml:space="preserve">2) </t>
    </r>
    <r>
      <rPr>
        <sz val="10"/>
        <color theme="1"/>
        <rFont val="Noto Sans CJK SC"/>
        <family val="2"/>
      </rPr>
      <t xml:space="preserve">비상연락망</t>
    </r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</si>
  <si>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내부 비상연락망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공사 현장의 보고계통에 따라 긴급연락망을 명확히 구성한다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</si>
  <si>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외부 비상연락망</t>
    </r>
  </si>
  <si>
    <t xml:space="preserve">비상사태 발생에 대비한 관계기관(소방서, 경찰서 등)의 연락망을 구성하여 작성한다.</t>
  </si>
  <si>
    <r>
      <rPr>
        <sz val="10"/>
        <color theme="1"/>
        <rFont val="맑은 고딕"/>
        <family val="3"/>
        <charset val="129"/>
      </rPr>
      <t xml:space="preserve">3) </t>
    </r>
    <r>
      <rPr>
        <sz val="10"/>
        <color theme="1"/>
        <rFont val="Noto Sans CJK SC"/>
        <family val="2"/>
      </rPr>
      <t xml:space="preserve">비상동원조직의 구성</t>
    </r>
  </si>
  <si>
    <t xml:space="preserve">비상사태의 수습을 위한 비상동원 조직은 아래와 같은 업부분담으로 구성한다.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</si>
  <si>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유도조</t>
    </r>
  </si>
  <si>
    <t xml:space="preserve">대피인원의 유도와 안전한 대피를 할 수 있도록 활동한다.</t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</si>
  <si>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응급 조치조</t>
    </r>
  </si>
  <si>
    <t xml:space="preserve">피해자의 응급조치를 담당한다.</t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</si>
  <si>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복구 작업조</t>
    </r>
  </si>
  <si>
    <t xml:space="preserve">손상된 시설에 대한 복구를 담당한다.</t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</si>
  <si>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상황조</t>
    </r>
  </si>
  <si>
    <t xml:space="preserve">상황전파, 외부연락 등을 담당한다.</t>
  </si>
  <si>
    <r>
      <rPr>
        <sz val="10"/>
        <color theme="1"/>
        <rFont val="맑은 고딕"/>
        <family val="3"/>
        <charset val="129"/>
      </rPr>
      <t xml:space="preserve">4) </t>
    </r>
    <r>
      <rPr>
        <sz val="10"/>
        <color theme="1"/>
        <rFont val="Noto Sans CJK SC"/>
        <family val="2"/>
      </rPr>
      <t xml:space="preserve">비상경보체계</t>
    </r>
  </si>
  <si>
    <t xml:space="preserve">비상사태의 발생에 대비한 각종 경보시설의 설치한다.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</si>
  <si>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경보시설의 설치</t>
    </r>
  </si>
  <si>
    <t xml:space="preserve">① 공사 또는 설비의 규모에 따른 경보발령지점</t>
  </si>
  <si>
    <t xml:space="preserve">② 공사 소음 등으로 경보음의 청취가 곤란할 경우 시각적 경보시설의 설치한다.</t>
  </si>
  <si>
    <t xml:space="preserve">③ 설치된 경보시설에 대한 작동점검을 실시한다.</t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</si>
  <si>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경보의 종류</t>
    </r>
  </si>
  <si>
    <t xml:space="preserve">발생 가능한 비상사태의 종류를 파악하여 각 상황별로 비상경보의 발신방법을 </t>
  </si>
  <si>
    <t xml:space="preserve">구체적으로 명시한다.</t>
  </si>
  <si>
    <r>
      <rPr>
        <sz val="10"/>
        <color theme="1"/>
        <rFont val="맑은 고딕"/>
        <family val="3"/>
        <charset val="129"/>
      </rPr>
      <t xml:space="preserve">5)  </t>
    </r>
    <r>
      <rPr>
        <sz val="10"/>
        <color theme="1"/>
        <rFont val="Noto Sans CJK SC"/>
        <family val="2"/>
      </rPr>
      <t xml:space="preserve">긴급대피 및 피난유도</t>
    </r>
  </si>
  <si>
    <t xml:space="preserve">공사현장 또는 부근에 있는 인원의 대피가 필요한 위급상황의 발생시 신속한 대피 또는 피난을 </t>
  </si>
  <si>
    <t xml:space="preserve">할 수 있도록 한다.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</si>
  <si>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긴급대피 상황의 전파방법</t>
    </r>
  </si>
  <si>
    <t xml:space="preserve">음성신호, 수신호, 경보음 등 상황전파에 관한 사항을 사전에 교육한다.</t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</si>
  <si>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유도원 등에 의한 피난 유도방법</t>
    </r>
  </si>
  <si>
    <t xml:space="preserve">유도원의 배치 및 활동, 유도시설 설치 등에 관한 사항을 사전에 교육한다.</t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</si>
  <si>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대피할 위치</t>
    </r>
  </si>
  <si>
    <t xml:space="preserve">현장 또는 인근에 위치한 대피시설의 위치 및 대피로의 지정 등에 관한 사항을 사전에 교육한다.</t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</si>
  <si>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비상 연락 수단</t>
    </r>
  </si>
  <si>
    <t xml:space="preserve">외부 관련 단체, 기관과의 연락수단에 관한 사항을 사전에 교육한다.</t>
  </si>
  <si>
    <r>
      <rPr>
        <sz val="10"/>
        <color theme="1"/>
        <rFont val="맑은 고딕"/>
        <family val="3"/>
        <charset val="129"/>
      </rPr>
      <t xml:space="preserve">6) </t>
    </r>
    <r>
      <rPr>
        <sz val="10"/>
        <color theme="1"/>
        <rFont val="Noto Sans CJK SC"/>
        <family val="2"/>
      </rPr>
      <t xml:space="preserve">응급조치 및 복구작업</t>
    </r>
  </si>
  <si>
    <t xml:space="preserve">상황이 잠시 중단되거나 종료되었음이 확인된 경우에 제반조치를한다.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</si>
  <si>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상황의 전파</t>
    </r>
  </si>
  <si>
    <t xml:space="preserve">중단 또는 종료된 상황을 신속히 전파한다.</t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</si>
  <si>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응급조치 활동</t>
    </r>
  </si>
  <si>
    <t xml:space="preserve">피해자에 대한 응급조치 활동을 신속히 실시한다.</t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</si>
  <si>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복구 작업</t>
    </r>
  </si>
  <si>
    <t xml:space="preserve">지정된 긴급복구 조직에 의한 복구 작업의 실시한다.</t>
  </si>
  <si>
    <r>
      <rPr>
        <sz val="10"/>
        <color theme="1"/>
        <rFont val="맑은 고딕"/>
        <family val="3"/>
        <charset val="129"/>
      </rPr>
      <t xml:space="preserve">(4) </t>
    </r>
    <r>
      <rPr>
        <sz val="10"/>
        <color theme="1"/>
        <rFont val="Noto Sans CJK SC"/>
        <family val="2"/>
      </rPr>
      <t xml:space="preserve">지원 요청</t>
    </r>
  </si>
  <si>
    <t xml:space="preserve">소방서, 경찰서 등 외부기관의 인원 및 장비의 지원요청을 한다.</t>
  </si>
  <si>
    <r>
      <rPr>
        <sz val="10"/>
        <color theme="1"/>
        <rFont val="맑은 고딕"/>
        <family val="3"/>
        <charset val="129"/>
      </rPr>
      <t xml:space="preserve">(5) </t>
    </r>
    <r>
      <rPr>
        <sz val="10"/>
        <color theme="1"/>
        <rFont val="Noto Sans CJK SC"/>
        <family val="2"/>
      </rPr>
      <t xml:space="preserve">복귀 유도</t>
    </r>
  </si>
  <si>
    <t xml:space="preserve">대피해 있던 인원의 질서있게 복귀시킨다.</t>
  </si>
  <si>
    <r>
      <rPr>
        <sz val="10"/>
        <color theme="1"/>
        <rFont val="맑은 고딕"/>
        <family val="3"/>
        <charset val="129"/>
      </rPr>
      <t xml:space="preserve">(6) </t>
    </r>
    <r>
      <rPr>
        <sz val="10"/>
        <color theme="1"/>
        <rFont val="Noto Sans CJK SC"/>
        <family val="2"/>
      </rPr>
      <t xml:space="preserve">피해결과의 파악 및 보고</t>
    </r>
  </si>
  <si>
    <t xml:space="preserve">복귀의 완료와 함께 인원과 장비 및 피해상황의 확인과 보고를 한다.</t>
  </si>
  <si>
    <r>
      <rPr>
        <sz val="10"/>
        <color theme="1"/>
        <rFont val="맑은 고딕"/>
        <family val="3"/>
        <charset val="129"/>
      </rPr>
      <t xml:space="preserve">7) </t>
    </r>
    <r>
      <rPr>
        <sz val="10"/>
        <color theme="1"/>
        <rFont val="Noto Sans CJK SC"/>
        <family val="2"/>
      </rPr>
      <t xml:space="preserve">비상복구장비 및 자재</t>
    </r>
  </si>
  <si>
    <t xml:space="preserve">비상시에 사용해야 할 복구장비 및 자재에 대한 제반사항을 교육한다.</t>
  </si>
  <si>
    <r>
      <rPr>
        <sz val="10"/>
        <color theme="1"/>
        <rFont val="맑은 고딕"/>
        <family val="3"/>
        <charset val="129"/>
      </rPr>
      <t xml:space="preserve">(1) </t>
    </r>
    <r>
      <rPr>
        <sz val="10"/>
        <color theme="1"/>
        <rFont val="Noto Sans CJK SC"/>
        <family val="2"/>
      </rPr>
      <t xml:space="preserve">비상복구장비</t>
    </r>
  </si>
  <si>
    <t xml:space="preserve">고압펌프나 유압재키 등과 같이 복구용으로 사용할 장비의 사용법을 교육한다.</t>
  </si>
  <si>
    <r>
      <rPr>
        <sz val="10"/>
        <color theme="1"/>
        <rFont val="맑은 고딕"/>
        <family val="3"/>
        <charset val="129"/>
      </rPr>
      <t xml:space="preserve">(2) </t>
    </r>
    <r>
      <rPr>
        <sz val="10"/>
        <color theme="1"/>
        <rFont val="Noto Sans CJK SC"/>
        <family val="2"/>
      </rPr>
      <t xml:space="preserve">자재의 관리</t>
    </r>
  </si>
  <si>
    <t xml:space="preserve">로우프나 각재, 철재형강 등 복구용으로 사용할 자재는 현장내의 자재를 적절히 활용할 수 있도록 </t>
  </si>
  <si>
    <t xml:space="preserve">항상 준비하고, 즉시 사용할 수 있도록 배치한다.</t>
  </si>
  <si>
    <r>
      <rPr>
        <sz val="10"/>
        <color theme="1"/>
        <rFont val="맑은 고딕"/>
        <family val="3"/>
        <charset val="129"/>
      </rPr>
      <t xml:space="preserve">(3) </t>
    </r>
    <r>
      <rPr>
        <sz val="10"/>
        <color theme="1"/>
        <rFont val="Noto Sans CJK SC"/>
        <family val="2"/>
      </rPr>
      <t xml:space="preserve">관리담당자 </t>
    </r>
  </si>
  <si>
    <t xml:space="preserve">비상시 시용할 복구장비나 자재를 관리하는 담당자를 지정한다.</t>
  </si>
  <si>
    <t xml:space="preserve">총괄 산업안전 보건관리비 사용계획서</t>
  </si>
  <si>
    <t xml:space="preserve">공  사  명</t>
  </si>
  <si>
    <t xml:space="preserve">대표자</t>
  </si>
  <si>
    <t xml:space="preserve">소  재  지</t>
  </si>
  <si>
    <t xml:space="preserve">발주자</t>
  </si>
  <si>
    <t xml:space="preserve">계상된
안전관리비</t>
  </si>
  <si>
    <t xml:space="preserve">누계공정율</t>
  </si>
  <si>
    <t xml:space="preserve">사        용        금        액</t>
  </si>
  <si>
    <t xml:space="preserve">항                      목</t>
  </si>
  <si>
    <t xml:space="preserve">사  용  금  액</t>
  </si>
  <si>
    <t xml:space="preserve">비고</t>
  </si>
  <si>
    <r>
      <rPr>
        <sz val="11"/>
        <rFont val="맑은 고딕"/>
        <family val="3"/>
        <charset val="129"/>
      </rPr>
      <t xml:space="preserve"> 1. </t>
    </r>
    <r>
      <rPr>
        <sz val="11"/>
        <rFont val="Noto Sans CJK SC"/>
        <family val="2"/>
      </rPr>
      <t xml:space="preserve">안전담당자 인건비</t>
    </r>
    <r>
      <rPr>
        <sz val="11"/>
        <rFont val="맑은 고딕"/>
        <family val="3"/>
        <charset val="129"/>
      </rPr>
      <t xml:space="preserve">(</t>
    </r>
    <r>
      <rPr>
        <sz val="11"/>
        <rFont val="Noto Sans CJK SC"/>
        <family val="2"/>
      </rPr>
      <t xml:space="preserve">수당</t>
    </r>
    <r>
      <rPr>
        <sz val="11"/>
        <rFont val="맑은 고딕"/>
        <family val="3"/>
        <charset val="129"/>
      </rPr>
      <t xml:space="preserve">)</t>
    </r>
    <r>
      <rPr>
        <sz val="11"/>
        <rFont val="Noto Sans CJK SC"/>
        <family val="2"/>
      </rPr>
      <t xml:space="preserve">및 안전보조원 인건비</t>
    </r>
  </si>
  <si>
    <r>
      <rPr>
        <sz val="11"/>
        <rFont val="맑은 고딕"/>
        <family val="3"/>
        <charset val="129"/>
      </rPr>
      <t xml:space="preserve"> 2. </t>
    </r>
    <r>
      <rPr>
        <sz val="11"/>
        <rFont val="Noto Sans CJK SC"/>
        <family val="2"/>
      </rPr>
      <t xml:space="preserve">안전시설비등</t>
    </r>
  </si>
  <si>
    <r>
      <rPr>
        <sz val="11"/>
        <rFont val="맑은 고딕"/>
        <family val="3"/>
        <charset val="129"/>
      </rPr>
      <t xml:space="preserve"> 3. </t>
    </r>
    <r>
      <rPr>
        <sz val="11"/>
        <rFont val="Noto Sans CJK SC"/>
        <family val="2"/>
      </rPr>
      <t xml:space="preserve">개인보호구 및 안전장비구입비등</t>
    </r>
  </si>
  <si>
    <r>
      <rPr>
        <sz val="11"/>
        <rFont val="맑은 고딕"/>
        <family val="3"/>
        <charset val="129"/>
      </rPr>
      <t xml:space="preserve"> 4. </t>
    </r>
    <r>
      <rPr>
        <sz val="11"/>
        <rFont val="Noto Sans CJK SC"/>
        <family val="2"/>
      </rPr>
      <t xml:space="preserve">안전진단비등</t>
    </r>
  </si>
  <si>
    <r>
      <rPr>
        <sz val="11"/>
        <rFont val="맑은 고딕"/>
        <family val="3"/>
        <charset val="129"/>
      </rPr>
      <t xml:space="preserve"> 5. </t>
    </r>
    <r>
      <rPr>
        <sz val="11"/>
        <rFont val="Noto Sans CJK SC"/>
        <family val="2"/>
      </rPr>
      <t xml:space="preserve">안전보건교육비 및 행사비등</t>
    </r>
  </si>
  <si>
    <r>
      <rPr>
        <sz val="11"/>
        <rFont val="맑은 고딕"/>
        <family val="3"/>
        <charset val="129"/>
      </rPr>
      <t xml:space="preserve"> 6. </t>
    </r>
    <r>
      <rPr>
        <sz val="11"/>
        <rFont val="Noto Sans CJK SC"/>
        <family val="2"/>
      </rPr>
      <t xml:space="preserve">근로자건강진단비등</t>
    </r>
  </si>
  <si>
    <t xml:space="preserve">계</t>
  </si>
  <si>
    <t xml:space="preserve">건설공사 산업안전 보건관리비 계상 및 사용기준 제10조 제1항의 규정에 의하여 위와 같이 사용 계획서를 제출합니다.</t>
  </si>
  <si>
    <t xml:space="preserve">상 호</t>
  </si>
  <si>
    <r>
      <rPr>
        <b val="true"/>
        <sz val="11"/>
        <rFont val="맑은 고딕"/>
        <family val="3"/>
        <charset val="129"/>
      </rPr>
      <t xml:space="preserve">* </t>
    </r>
    <r>
      <rPr>
        <b val="true"/>
        <sz val="11"/>
        <rFont val="Noto Sans CJK SC"/>
        <family val="2"/>
      </rPr>
      <t xml:space="preserve">항목별 사용 계획서</t>
    </r>
  </si>
  <si>
    <t xml:space="preserve">항        목</t>
  </si>
  <si>
    <t xml:space="preserve">사 용 내 역</t>
  </si>
  <si>
    <t xml:space="preserve">단 가</t>
  </si>
  <si>
    <t xml:space="preserve">수 량</t>
  </si>
  <si>
    <t xml:space="preserve">금    액</t>
  </si>
  <si>
    <r>
      <rPr>
        <sz val="11"/>
        <rFont val="맑은 고딕"/>
        <family val="3"/>
        <charset val="129"/>
      </rPr>
      <t xml:space="preserve"> 1. </t>
    </r>
    <r>
      <rPr>
        <sz val="11"/>
        <rFont val="Noto Sans CJK SC"/>
        <family val="2"/>
      </rPr>
      <t xml:space="preserve">안전보건관계자 인건비 및 
    각종업무수당</t>
    </r>
  </si>
  <si>
    <t xml:space="preserve">신호수</t>
  </si>
  <si>
    <t xml:space="preserve">소  계</t>
  </si>
  <si>
    <r>
      <rPr>
        <sz val="11"/>
        <rFont val="맑은 고딕"/>
        <family val="3"/>
        <charset val="129"/>
      </rPr>
      <t xml:space="preserve"> 2. </t>
    </r>
    <r>
      <rPr>
        <sz val="11"/>
        <rFont val="Noto Sans CJK SC"/>
        <family val="2"/>
      </rPr>
      <t xml:space="preserve">안전시설비</t>
    </r>
  </si>
  <si>
    <t xml:space="preserve">소화기</t>
  </si>
  <si>
    <t xml:space="preserve">신호봉</t>
  </si>
  <si>
    <t xml:space="preserve">신호수조끼</t>
  </si>
  <si>
    <r>
      <rPr>
        <sz val="11"/>
        <rFont val="맑은 고딕"/>
        <family val="3"/>
        <charset val="129"/>
      </rPr>
      <t xml:space="preserve"> 3. </t>
    </r>
    <r>
      <rPr>
        <sz val="11"/>
        <rFont val="Noto Sans CJK SC"/>
        <family val="2"/>
      </rPr>
      <t xml:space="preserve">개인보호구 및 안전장비구입비</t>
    </r>
  </si>
  <si>
    <t xml:space="preserve">안 전 모</t>
  </si>
  <si>
    <t xml:space="preserve">안 전 화</t>
  </si>
  <si>
    <t xml:space="preserve">안전벨트</t>
  </si>
  <si>
    <t xml:space="preserve">보안경</t>
  </si>
  <si>
    <t xml:space="preserve">방진마스크</t>
  </si>
  <si>
    <t xml:space="preserve">불티방지막</t>
  </si>
  <si>
    <r>
      <rPr>
        <sz val="11"/>
        <rFont val="맑은 고딕"/>
        <family val="3"/>
        <charset val="129"/>
      </rPr>
      <t xml:space="preserve"> 4. </t>
    </r>
    <r>
      <rPr>
        <sz val="11"/>
        <rFont val="Noto Sans CJK SC"/>
        <family val="2"/>
      </rPr>
      <t xml:space="preserve">안전진단비</t>
    </r>
  </si>
  <si>
    <r>
      <rPr>
        <sz val="11"/>
        <rFont val="맑은 고딕"/>
        <family val="3"/>
        <charset val="129"/>
      </rPr>
      <t xml:space="preserve"> 5. </t>
    </r>
    <r>
      <rPr>
        <sz val="11"/>
        <rFont val="Noto Sans CJK SC"/>
        <family val="2"/>
      </rPr>
      <t xml:space="preserve">안전보건 교육비 및 행사비등</t>
    </r>
  </si>
  <si>
    <t xml:space="preserve">안전교육 음료대 등</t>
  </si>
  <si>
    <r>
      <rPr>
        <sz val="11"/>
        <rFont val="맑은 고딕"/>
        <family val="3"/>
        <charset val="129"/>
      </rPr>
      <t xml:space="preserve"> 6. </t>
    </r>
    <r>
      <rPr>
        <sz val="11"/>
        <rFont val="Noto Sans CJK SC"/>
        <family val="2"/>
      </rPr>
      <t xml:space="preserve">근로자 건강 진단비 등</t>
    </r>
  </si>
  <si>
    <t xml:space="preserve">구 급 함</t>
  </si>
  <si>
    <t xml:space="preserve">합계</t>
  </si>
  <si>
    <r>
      <rPr>
        <sz val="24"/>
        <color theme="1"/>
        <rFont val="맑은 고딕"/>
        <family val="3"/>
        <charset val="129"/>
      </rPr>
      <t xml:space="preserve">6. </t>
    </r>
    <r>
      <rPr>
        <sz val="24"/>
        <color theme="1"/>
        <rFont val="Noto Sans CJK SC"/>
        <family val="2"/>
      </rPr>
      <t xml:space="preserve">환경관리계획서</t>
    </r>
  </si>
  <si>
    <t xml:space="preserve">건설기술관리법 시행령 제 46조의 제8항의 규정에 의하여 안전관리계획서를 제출합니다.</t>
  </si>
  <si>
    <r>
      <rPr>
        <sz val="11"/>
        <color theme="1"/>
        <rFont val="맑은 고딕"/>
        <family val="3"/>
        <charset val="129"/>
      </rPr>
      <t xml:space="preserve">1. </t>
    </r>
    <r>
      <rPr>
        <sz val="11"/>
        <color theme="1"/>
        <rFont val="Noto Sans CJK SC"/>
        <family val="2"/>
      </rPr>
      <t xml:space="preserve">환경관리계획서      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Noto Sans CJK SC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.       </t>
    </r>
    <r>
      <rPr>
        <sz val="11"/>
        <color theme="1"/>
        <rFont val="Noto Sans CJK SC"/>
        <family val="2"/>
      </rPr>
      <t xml:space="preserve">끝</t>
    </r>
    <r>
      <rPr>
        <sz val="11"/>
        <color theme="1"/>
        <rFont val="맑은 고딕"/>
        <family val="3"/>
        <charset val="129"/>
      </rPr>
      <t xml:space="preserve">.</t>
    </r>
  </si>
  <si>
    <r>
      <rPr>
        <b val="true"/>
        <sz val="15"/>
        <color rgb="FF000000"/>
        <rFont val="맑은 고딕"/>
        <family val="3"/>
        <charset val="129"/>
      </rPr>
      <t xml:space="preserve">6. </t>
    </r>
    <r>
      <rPr>
        <b val="true"/>
        <sz val="15"/>
        <color rgb="FF000000"/>
        <rFont val="Noto Sans CJK SC"/>
        <family val="2"/>
      </rPr>
      <t xml:space="preserve">환경보전계획 </t>
    </r>
  </si>
  <si>
    <r>
      <rPr>
        <b val="true"/>
        <sz val="10"/>
        <color rgb="FF000000"/>
        <rFont val="맑은 고딕"/>
        <family val="3"/>
        <charset val="129"/>
      </rPr>
      <t xml:space="preserve">6-1 </t>
    </r>
    <r>
      <rPr>
        <b val="true"/>
        <sz val="10"/>
        <color rgb="FF000000"/>
        <rFont val="Noto Sans CJK SC"/>
        <family val="2"/>
      </rPr>
      <t xml:space="preserve">환경관리의 개요</t>
    </r>
  </si>
  <si>
    <t xml:space="preserve">본 계획서는 환경오염으로 인한 피해를 예방하여 주변지역 주민이 건강하고, 쾌적한 환경에서 생활할 </t>
  </si>
  <si>
    <t xml:space="preserve">수 있도록 자연환경 및 생활환경을 적정하게 관리 보전할 수 있는 시공으로 환경대책과 자연보호에 </t>
  </si>
  <si>
    <t xml:space="preserve">관한 일반적인 사항을 규정한다.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</si>
  <si>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관계법령 및 관리대상</t>
    </r>
  </si>
  <si>
    <t xml:space="preserve">법령</t>
  </si>
  <si>
    <t xml:space="preserve">주요 관리대상</t>
  </si>
  <si>
    <t xml:space="preserve">소음진동관리법</t>
  </si>
  <si>
    <t xml:space="preserve">장비의 작업, 이동, 발파 등에 따른 소음 및 진동제어</t>
  </si>
  <si>
    <t xml:space="preserve">폐기물관리법</t>
  </si>
  <si>
    <t xml:space="preserve">건설폐기물 처리의 적법처리</t>
  </si>
  <si>
    <t xml:space="preserve">대기환경 보존법</t>
  </si>
  <si>
    <t xml:space="preserve">비산먼지 발생 저하</t>
  </si>
  <si>
    <r>
      <rPr>
        <sz val="9"/>
        <color rgb="FF000000"/>
        <rFont val="맑은 고딕"/>
        <family val="3"/>
        <charset val="129"/>
      </rPr>
      <t xml:space="preserve">2) </t>
    </r>
    <r>
      <rPr>
        <sz val="9"/>
        <color rgb="FF000000"/>
        <rFont val="Noto Sans CJK SC"/>
        <family val="2"/>
      </rPr>
      <t xml:space="preserve">현장 환경 목표</t>
    </r>
  </si>
  <si>
    <t xml:space="preserve">① 환경법규 준수, 쾌적한 작업장 조성</t>
  </si>
  <si>
    <t xml:space="preserve">② 비산먼지 발생 최소화</t>
  </si>
  <si>
    <t xml:space="preserve">③ 대외 민원 발생 최소화</t>
  </si>
  <si>
    <t xml:space="preserve">④ 소음, 진동, 수질관리</t>
  </si>
  <si>
    <r>
      <rPr>
        <b val="true"/>
        <sz val="10"/>
        <color rgb="FF000000"/>
        <rFont val="맑은 고딕"/>
        <family val="3"/>
        <charset val="129"/>
      </rPr>
      <t xml:space="preserve">6-2 </t>
    </r>
    <r>
      <rPr>
        <b val="true"/>
        <sz val="10"/>
        <color rgb="FF000000"/>
        <rFont val="Noto Sans CJK SC"/>
        <family val="2"/>
      </rPr>
      <t xml:space="preserve">환경관리조직도</t>
    </r>
  </si>
  <si>
    <r>
      <rPr>
        <sz val="10"/>
        <color theme="1"/>
        <rFont val="맑은 고딕"/>
        <family val="3"/>
        <charset val="129"/>
      </rPr>
      <t xml:space="preserve">1. </t>
    </r>
    <r>
      <rPr>
        <sz val="10"/>
        <color theme="1"/>
        <rFont val="Noto Sans CJK SC"/>
        <family val="2"/>
      </rPr>
      <t xml:space="preserve">환경사항 법적기준 준수</t>
    </r>
  </si>
  <si>
    <r>
      <rPr>
        <sz val="10"/>
        <color theme="1"/>
        <rFont val="맑은 고딕"/>
        <family val="3"/>
        <charset val="129"/>
      </rPr>
      <t xml:space="preserve">2. </t>
    </r>
    <r>
      <rPr>
        <sz val="10"/>
        <color theme="1"/>
        <rFont val="Noto Sans CJK SC"/>
        <family val="2"/>
      </rPr>
      <t xml:space="preserve">현장점검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환경개선 지시</t>
    </r>
  </si>
  <si>
    <r>
      <rPr>
        <sz val="10"/>
        <color theme="1"/>
        <rFont val="맑은 고딕"/>
        <family val="3"/>
        <charset val="129"/>
      </rPr>
      <t xml:space="preserve">3. </t>
    </r>
    <r>
      <rPr>
        <sz val="10"/>
        <color theme="1"/>
        <rFont val="Noto Sans CJK SC"/>
        <family val="2"/>
      </rPr>
      <t xml:space="preserve">업무계획 독려</t>
    </r>
  </si>
  <si>
    <r>
      <rPr>
        <sz val="10"/>
        <color theme="1"/>
        <rFont val="맑은 고딕"/>
        <family val="3"/>
        <charset val="129"/>
      </rPr>
      <t xml:space="preserve">4. </t>
    </r>
    <r>
      <rPr>
        <sz val="10"/>
        <color theme="1"/>
        <rFont val="Noto Sans CJK SC"/>
        <family val="2"/>
      </rPr>
      <t xml:space="preserve">환경 위반자 조치</t>
    </r>
  </si>
  <si>
    <t xml:space="preserve">환경관리자</t>
  </si>
  <si>
    <t xml:space="preserve">현장내 환경관련 위반자 점검보고</t>
  </si>
  <si>
    <t xml:space="preserve">및 확인감독</t>
  </si>
  <si>
    <t xml:space="preserve">오염원의 지속적인 조사, 분석</t>
  </si>
  <si>
    <t xml:space="preserve">대책수립 및 기록, 유지관리</t>
  </si>
  <si>
    <r>
      <rPr>
        <b val="true"/>
        <sz val="10"/>
        <color rgb="FF000000"/>
        <rFont val="맑은 고딕"/>
        <family val="3"/>
        <charset val="129"/>
      </rPr>
      <t xml:space="preserve">6-3 </t>
    </r>
    <r>
      <rPr>
        <b val="true"/>
        <sz val="10"/>
        <color rgb="FF000000"/>
        <rFont val="Noto Sans CJK SC"/>
        <family val="2"/>
      </rPr>
      <t xml:space="preserve">환경점검계획</t>
    </r>
  </si>
  <si>
    <t xml:space="preserve">환경교육의 내용</t>
  </si>
  <si>
    <t xml:space="preserve">정기교육</t>
  </si>
  <si>
    <t xml:space="preserve">환경조직활동, 작업환경, 근로자작업자세등 전반적인 환경보전상태 확인</t>
  </si>
  <si>
    <t xml:space="preserve">수시교육</t>
  </si>
  <si>
    <t xml:space="preserve">비산, 분진발생 및 예상지역에 대한 작업상태 확인</t>
  </si>
  <si>
    <t xml:space="preserve">특별교육</t>
  </si>
  <si>
    <t xml:space="preserve">작업전교육</t>
  </si>
  <si>
    <t xml:space="preserve">환경순찰</t>
  </si>
  <si>
    <r>
      <rPr>
        <b val="true"/>
        <sz val="10"/>
        <color rgb="FF000000"/>
        <rFont val="맑은 고딕"/>
        <family val="3"/>
        <charset val="129"/>
      </rPr>
      <t xml:space="preserve">6-4 </t>
    </r>
    <r>
      <rPr>
        <b val="true"/>
        <sz val="10"/>
        <color rgb="FF000000"/>
        <rFont val="Noto Sans CJK SC"/>
        <family val="2"/>
      </rPr>
      <t xml:space="preserve">분진</t>
    </r>
    <r>
      <rPr>
        <b val="true"/>
        <sz val="10"/>
        <color rgb="FF000000"/>
        <rFont val="맑은 고딕"/>
        <family val="3"/>
        <charset val="129"/>
      </rPr>
      <t xml:space="preserve">, </t>
    </r>
    <r>
      <rPr>
        <b val="true"/>
        <sz val="10"/>
        <color rgb="FF000000"/>
        <rFont val="Noto Sans CJK SC"/>
        <family val="2"/>
      </rPr>
      <t xml:space="preserve">소음 등 환경보전 계획</t>
    </r>
  </si>
  <si>
    <t xml:space="preserve">공사차량 운행에 의한 주거지역에 미치는 소음의 영향을 저감하기 위하여 운행차량의 속도를 제한</t>
  </si>
  <si>
    <t xml:space="preserve">하고, 작업장에서 사용장비의 작업시간조정등의 소음저감대책을 수립한 후 시공하여야 한다. </t>
  </si>
  <si>
    <t xml:space="preserve">발파작업시는 발파에 의한 소음・진동을 저감시킬 수 있는 폭약의 사용 및 1회 사용량등을 제한</t>
  </si>
  <si>
    <t xml:space="preserve">하도록 하여 시공에 철저를 기하여야 한다. 다음은 건설공사에 수반되는 소음・진동의 방지에 대하여 </t>
  </si>
  <si>
    <t xml:space="preserve">기술적 대책을 제시한 것이다.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</si>
  <si>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적용범위</t>
    </r>
  </si>
  <si>
    <t xml:space="preserve">원칙적으로 모든 공종에 적용한다. 다만 재해 그 밖의 사유로 긴급을 요하는 경우는 예외로 한다.</t>
  </si>
  <si>
    <t xml:space="preserve">특히, 다음의 구역을 충분한 소음・진동대책을 강구하여야 한다.</t>
  </si>
  <si>
    <t xml:space="preserve">① 학교, 보육원, 병원, 도서관, 공연장 등의 시설주변(특히 조용해야 할 구역)</t>
  </si>
  <si>
    <t xml:space="preserve">② 주택이 밀집되어 있는 구역</t>
  </si>
  <si>
    <t xml:space="preserve">③ 가축사육장, 정밀기계공장, 전산기시설 등에 인접해서 소음․진동의 영향이 예상되는 구역</t>
  </si>
  <si>
    <r>
      <rPr>
        <sz val="10"/>
        <color theme="1"/>
        <rFont val="맑은 고딕"/>
        <family val="3"/>
        <charset val="129"/>
      </rPr>
      <t xml:space="preserve">2) </t>
    </r>
    <r>
      <rPr>
        <sz val="10"/>
        <color theme="1"/>
        <rFont val="Noto Sans CJK SC"/>
        <family val="2"/>
      </rPr>
      <t xml:space="preserve">기본대책</t>
    </r>
  </si>
  <si>
    <t xml:space="preserve">① 시공시 각 단계별 소음․진동 대책을 검토하여야 한다.</t>
  </si>
  <si>
    <t xml:space="preserve">② 소음・진동대책에 있어서는 소음・진동의 크기를 낮추는 외에 발생기간을 단축하는 등 </t>
  </si>
  <si>
    <t xml:space="preserve">전체적인 영향을 줄이도록 검토하여야 한다.</t>
  </si>
  <si>
    <t xml:space="preserve">③ 기공전에 공사주변지역의 현장입지여건을 조사하여야 한다.</t>
  </si>
  <si>
    <t xml:space="preserve">④ 시공시 지역주민 및 관계자에게 공사목적, 내용 등에 대하여 사전에 설명을 하여 공사실시에 </t>
  </si>
  <si>
    <t xml:space="preserve">협조를 얻도록 하여야 한다.</t>
  </si>
  <si>
    <r>
      <rPr>
        <sz val="10"/>
        <color theme="1"/>
        <rFont val="맑은 고딕"/>
        <family val="3"/>
        <charset val="129"/>
      </rPr>
      <t xml:space="preserve">3) </t>
    </r>
    <r>
      <rPr>
        <sz val="10"/>
        <color theme="1"/>
        <rFont val="Noto Sans CJK SC"/>
        <family val="2"/>
      </rPr>
      <t xml:space="preserve">현지조사</t>
    </r>
  </si>
  <si>
    <t xml:space="preserve">① 시공에 있어서는 공장현장 및 현장주변의 상황에 대하여 시공전 조사, 시공시 조사를 적절히 </t>
  </si>
  <si>
    <t xml:space="preserve">실시하여야 한다.</t>
  </si>
  <si>
    <t xml:space="preserve">② 시공전조사는 공사에 따른 소음・진동대책을 검토하여, 착공전의 상황을 파악하기 위해 </t>
  </si>
  <si>
    <t xml:space="preserve">필요에 따라 다음사항에 대해서 실시하여야 한다.</t>
  </si>
  <si>
    <t xml:space="preserve">ㆍ 공사현장 주변에 대하여 가옥・시설 등의 유무, 규모, 밀집도 및 소음․진동의 발생원이나 </t>
  </si>
  <si>
    <t xml:space="preserve">가옥․시설과의 거리등을 조사해서 소음․진동의 영향을 검토하여야 한다.</t>
  </si>
  <si>
    <t xml:space="preserve">ㆍ 공사현장주변에 있어서 작업시간대에 따른 소음진동을 측정하여야 한다.</t>
  </si>
  <si>
    <t xml:space="preserve">ㆍ 공사현장주변에서 공사로 인한 진동의 영향이 예상되는 건조물에 대하여 시공전의 </t>
  </si>
  <si>
    <t xml:space="preserve">상황을 조사하여야 한다.</t>
  </si>
  <si>
    <t xml:space="preserve">③ 시공시 조사는 필요에 따라 소음․진동을 측정하여 공사현장주변의 상황, 건조물 등의 상태를 </t>
  </si>
  <si>
    <t xml:space="preserve">파악하여야 한다.</t>
  </si>
  <si>
    <r>
      <rPr>
        <sz val="10"/>
        <color rgb="FF000000"/>
        <rFont val="맑은 고딕"/>
        <family val="3"/>
        <charset val="129"/>
      </rPr>
      <t xml:space="preserve">4) </t>
    </r>
    <r>
      <rPr>
        <sz val="10"/>
        <color rgb="FF000000"/>
        <rFont val="Noto Sans CJK SC"/>
        <family val="2"/>
      </rPr>
      <t xml:space="preserve">시공시의 대책</t>
    </r>
  </si>
  <si>
    <t xml:space="preserve">① 계획․설계시에 고려된 소음․진동 대책을 다시 검토하여 확실히 변경 또는 실천하여야 한다.</t>
  </si>
  <si>
    <t xml:space="preserve">② 시공시 채택하는 건설장비에서 발생하는 소음․진동의 실태에 대하여 미리 조사하여야 한다.</t>
  </si>
  <si>
    <t xml:space="preserve">③ 시공시 공사의 원활화를 기하는 동시에 현장관리에 유의하여 이의 불충분함에 기인한 소음․</t>
  </si>
  <si>
    <t xml:space="preserve">진동의 영향을 되도록 줄여야 한다.</t>
  </si>
  <si>
    <t xml:space="preserve">④ 건설장비에 대해서는 점검․장비를 철저히 하여 이들 불완전성에 기인한 소음․진동을 </t>
  </si>
  <si>
    <t xml:space="preserve">방지하여야 한다.</t>
  </si>
  <si>
    <t xml:space="preserve">⑤ 시공법, 건설장비의 선정에 있어서는 공사현장에 배치하는 건설장비중 전체의 소음․진동에 </t>
  </si>
  <si>
    <t xml:space="preserve">큰 영향을 미치는 점에 특히 유의해서 대책을 세워야 한다.</t>
  </si>
  <si>
    <t xml:space="preserve">⑥ 건설장비의 선정에 있어서는 건설장비에서 발생하는 소음․진동의 크기에 관계되는 요인은 </t>
  </si>
  <si>
    <t xml:space="preserve">다음과 같다.</t>
  </si>
  <si>
    <t xml:space="preserve">ㆍ 건설장비의 종류</t>
  </si>
  <si>
    <t xml:space="preserve">ㆍ 건설장비의 형식</t>
  </si>
  <si>
    <t xml:space="preserve">ㆍ 건설장비의 동력의 종류</t>
  </si>
  <si>
    <t xml:space="preserve">ㆍ 장비의 정격출력의 크기</t>
  </si>
  <si>
    <t xml:space="preserve">ㆍ 장비의 부하의 크기</t>
  </si>
  <si>
    <t xml:space="preserve">ㆍ 건설장비의 노후도</t>
  </si>
  <si>
    <t xml:space="preserve">⑦ 건설장비로 작업하는 경우는 공회전을 지양하고, 짧은 대기시간에도 엔진을 멈추는 등 </t>
  </si>
  <si>
    <t xml:space="preserve">불필요한 소음․진동을 억제하여야 한다.</t>
  </si>
  <si>
    <r>
      <rPr>
        <sz val="10"/>
        <color rgb="FF000000"/>
        <rFont val="맑은 고딕"/>
        <family val="3"/>
        <charset val="129"/>
      </rPr>
      <t xml:space="preserve">5) </t>
    </r>
    <r>
      <rPr>
        <sz val="10"/>
        <color rgb="FF000000"/>
        <rFont val="Noto Sans CJK SC"/>
        <family val="2"/>
      </rPr>
      <t xml:space="preserve">운반</t>
    </r>
  </si>
  <si>
    <t xml:space="preserve">① 운반계획에 있어서는 교통안전에 유의함과 아울러 운반으로 발생하는 소음․진동대책을 마련</t>
  </si>
  <si>
    <t xml:space="preserve">② 운반로의 선정에 있어서는 사전에 도로 및 부근상황에 대하여 면밀히 조사해서 다음 사항에 </t>
  </si>
  <si>
    <t xml:space="preserve">유의하여야 한다. 사전에 도로관리자․경찰과 협의하는 것이 좋다.</t>
  </si>
  <si>
    <t xml:space="preserve">ㆍ 통근, 통학, 쇼핑 등으로 특히 사람이 많고 보차도의 구별이 없는 도로는 가급적 </t>
  </si>
  <si>
    <t xml:space="preserve">피하여야 한다.</t>
  </si>
  <si>
    <t xml:space="preserve">ㆍ 필요에 따라 가로, 복로를 따로 선정하고</t>
  </si>
  <si>
    <t xml:space="preserve">ㆍ 가급적 포장도로나 넓은 도로를 사용하며</t>
  </si>
  <si>
    <t xml:space="preserve">ㆍ 종단이 급한 도로나 급커브가 많은 도로는 피한다.</t>
  </si>
  <si>
    <t xml:space="preserve">③ 운반차의 주행속도는 도로 및 부근상황에 따라 제한을 두도록 계획․실시하여야 한다.</t>
  </si>
  <si>
    <t xml:space="preserve">④ 운반로는 점검을 철저히 하여 특히 필요할 때는 유지․보수를 계획하여 만전을 기하여야 한다.</t>
  </si>
  <si>
    <t xml:space="preserve">⑤ 운반로의 선정에 있어서는 운반물량, 투입대수, 주행속도 등을 충분히 검토하여야 한다.</t>
  </si>
  <si>
    <r>
      <rPr>
        <sz val="10"/>
        <color rgb="FF000000"/>
        <rFont val="맑은 고딕"/>
        <family val="3"/>
        <charset val="129"/>
      </rPr>
      <t xml:space="preserve">6) </t>
    </r>
    <r>
      <rPr>
        <sz val="10"/>
        <color rgb="FF000000"/>
        <rFont val="Noto Sans CJK SC"/>
        <family val="2"/>
      </rPr>
      <t xml:space="preserve">정치장치</t>
    </r>
  </si>
  <si>
    <t xml:space="preserve">① 운반식은 방음대책을 강구한 장비를 사용하여야 한다.</t>
  </si>
  <si>
    <t xml:space="preserve">② 정치식은 소음․진동 대책을 강구하여야 한다.</t>
  </si>
  <si>
    <t xml:space="preserve">③ 배수펌프의 사용에 있어서는 소음방지에 유의하여야 한다.</t>
  </si>
  <si>
    <t xml:space="preserve">④ 공기 압축기, 발동발전기, 배수펌프 등은 공사현장의 주변환경을 고려해서 설치하여야 한다.</t>
  </si>
  <si>
    <r>
      <rPr>
        <b val="true"/>
        <sz val="10"/>
        <color rgb="FF000000"/>
        <rFont val="맑은 고딕"/>
        <family val="3"/>
        <charset val="129"/>
      </rPr>
      <t xml:space="preserve">6-5 </t>
    </r>
    <r>
      <rPr>
        <b val="true"/>
        <sz val="10"/>
        <color rgb="FF000000"/>
        <rFont val="Noto Sans CJK SC"/>
        <family val="2"/>
      </rPr>
      <t xml:space="preserve">건설폐기물 처리 계획</t>
    </r>
  </si>
  <si>
    <t xml:space="preserve">공사현장에는 차량 및 장비에서 배출되는 폐유등의 폐기물과 현장근로자의 생활폐기물 등을 </t>
  </si>
  <si>
    <t xml:space="preserve">배출하게 되므로 폐기물 관리법에 의하여 적정 처리되도록 시공전에 충분한 폐기물 처리대책을 </t>
  </si>
  <si>
    <t xml:space="preserve">수립하여 시행하여야 한다.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</si>
  <si>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 xml:space="preserve">폐유처리 대책</t>
    </r>
  </si>
  <si>
    <t xml:space="preserve">공사차량 및 장비에서 배출되는 폐유는 일정한 장소를 선정하여 저장용기에 모아 두었다가 </t>
  </si>
  <si>
    <t xml:space="preserve">산업폐기물 처리업자가 처리하도록 대책을 수립한다.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</si>
  <si>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 xml:space="preserve">생활폐기물 처리대책</t>
    </r>
  </si>
  <si>
    <t xml:space="preserve">공사현장 근로자의 생활에서 배출되는 폐기물은 소각 가능한 물질과 소각할 수 없는 물질을 </t>
  </si>
  <si>
    <t xml:space="preserve">분류하여(소각시설이 설치된 곳에서 소각가능 물질은 소각처리) 도시의 쓰레기 처리업자에게 </t>
  </si>
  <si>
    <t xml:space="preserve">위탁처리 될 수 있도록 시공전에 폐기물 처리대책을 수립하여 시행하여야 한다.</t>
  </si>
  <si>
    <t xml:space="preserve">환경보전비 사용계획서</t>
  </si>
  <si>
    <t xml:space="preserve">계상된
환경보전비</t>
  </si>
  <si>
    <r>
      <rPr>
        <sz val="11"/>
        <rFont val="맑은 고딕"/>
        <family val="3"/>
        <charset val="129"/>
      </rPr>
      <t xml:space="preserve">1. </t>
    </r>
    <r>
      <rPr>
        <sz val="11"/>
        <rFont val="Noto Sans CJK SC"/>
        <family val="2"/>
      </rPr>
      <t xml:space="preserve">환경보전시설 설치 및 운영비용</t>
    </r>
  </si>
  <si>
    <r>
      <rPr>
        <sz val="11"/>
        <rFont val="맑은 고딕"/>
        <family val="3"/>
        <charset val="129"/>
      </rPr>
      <t xml:space="preserve">2. </t>
    </r>
    <r>
      <rPr>
        <sz val="11"/>
        <rFont val="Noto Sans CJK SC"/>
        <family val="2"/>
      </rPr>
      <t xml:space="preserve">환경계측비용</t>
    </r>
  </si>
  <si>
    <r>
      <rPr>
        <sz val="11"/>
        <rFont val="맑은 고딕"/>
        <family val="3"/>
        <charset val="129"/>
      </rPr>
      <t xml:space="preserve">3. </t>
    </r>
    <r>
      <rPr>
        <sz val="11"/>
        <rFont val="Noto Sans CJK SC"/>
        <family val="2"/>
      </rPr>
      <t xml:space="preserve">환경자료 및 홍보물 구입비용</t>
    </r>
  </si>
  <si>
    <r>
      <rPr>
        <sz val="11"/>
        <rFont val="맑은 고딕"/>
        <family val="3"/>
        <charset val="129"/>
      </rPr>
      <t xml:space="preserve">4. </t>
    </r>
    <r>
      <rPr>
        <sz val="11"/>
        <rFont val="Noto Sans CJK SC"/>
        <family val="2"/>
      </rPr>
      <t xml:space="preserve">환경관련 인건비용</t>
    </r>
  </si>
  <si>
    <r>
      <rPr>
        <sz val="11"/>
        <rFont val="맑은 고딕"/>
        <family val="3"/>
        <charset val="129"/>
      </rPr>
      <t xml:space="preserve">5. </t>
    </r>
    <r>
      <rPr>
        <sz val="11"/>
        <rFont val="Noto Sans CJK SC"/>
        <family val="2"/>
      </rPr>
      <t xml:space="preserve">환경교육 비용</t>
    </r>
  </si>
  <si>
    <t xml:space="preserve">위와 같이 환경보전비 사용계획을 제출합니다.</t>
  </si>
  <si>
    <r>
      <rPr>
        <b val="true"/>
        <sz val="12"/>
        <rFont val="맑은 고딕"/>
        <family val="3"/>
        <charset val="129"/>
      </rPr>
      <t xml:space="preserve">* </t>
    </r>
    <r>
      <rPr>
        <b val="true"/>
        <sz val="12"/>
        <rFont val="Noto Sans CJK SC"/>
        <family val="2"/>
      </rPr>
      <t xml:space="preserve">항목별 사용 계획서</t>
    </r>
  </si>
  <si>
    <t xml:space="preserve">집진기</t>
  </si>
  <si>
    <t xml:space="preserve">살수차</t>
  </si>
  <si>
    <r>
      <rPr>
        <b val="true"/>
        <sz val="14"/>
        <color rgb="FF000000"/>
        <rFont val="맑은 고딕"/>
        <family val="3"/>
        <charset val="129"/>
      </rPr>
      <t xml:space="preserve">7. </t>
    </r>
    <r>
      <rPr>
        <b val="true"/>
        <sz val="14"/>
        <color rgb="FF000000"/>
        <rFont val="Noto Sans CJK SC"/>
        <family val="2"/>
      </rPr>
      <t xml:space="preserve">인력 및 장비투입계획서</t>
    </r>
  </si>
  <si>
    <r>
      <rPr>
        <b val="true"/>
        <sz val="10"/>
        <color rgb="FF000000"/>
        <rFont val="맑은 고딕"/>
        <family val="3"/>
        <charset val="129"/>
      </rPr>
      <t xml:space="preserve">7-1. </t>
    </r>
    <r>
      <rPr>
        <b val="true"/>
        <sz val="10"/>
        <color rgb="FF000000"/>
        <rFont val="Noto Sans CJK SC"/>
        <family val="2"/>
      </rPr>
      <t xml:space="preserve">인력 투입</t>
    </r>
  </si>
  <si>
    <t xml:space="preserve">공   종</t>
  </si>
  <si>
    <t xml:space="preserve">투 입 예 정 인 원</t>
  </si>
  <si>
    <t xml:space="preserve">인  원</t>
  </si>
  <si>
    <t xml:space="preserve">일  수</t>
  </si>
  <si>
    <t xml:space="preserve">토공사</t>
  </si>
  <si>
    <t xml:space="preserve">철거공사</t>
  </si>
  <si>
    <t xml:space="preserve">우수공사</t>
  </si>
  <si>
    <t xml:space="preserve">포장공사</t>
  </si>
  <si>
    <t xml:space="preserve">구조물공사</t>
  </si>
  <si>
    <t xml:space="preserve">부대공사</t>
  </si>
  <si>
    <r>
      <rPr>
        <b val="true"/>
        <sz val="10"/>
        <color rgb="FF000000"/>
        <rFont val="맑은 고딕"/>
        <family val="3"/>
        <charset val="129"/>
      </rPr>
      <t xml:space="preserve">7-2. </t>
    </r>
    <r>
      <rPr>
        <b val="true"/>
        <sz val="10"/>
        <color rgb="FF000000"/>
        <rFont val="Noto Sans CJK SC"/>
        <family val="2"/>
      </rPr>
      <t xml:space="preserve">장비투입계획서</t>
    </r>
  </si>
  <si>
    <t xml:space="preserve">공 종</t>
  </si>
  <si>
    <t xml:space="preserve">장비명</t>
  </si>
  <si>
    <t xml:space="preserve">투  입  예  정</t>
  </si>
  <si>
    <t xml:space="preserve">수량</t>
  </si>
  <si>
    <t xml:space="preserve">일수</t>
  </si>
  <si>
    <t xml:space="preserve">백호</t>
  </si>
  <si>
    <t xml:space="preserve">07W</t>
  </si>
  <si>
    <t xml:space="preserve">롤러</t>
  </si>
  <si>
    <t xml:space="preserve">10 TON</t>
  </si>
  <si>
    <t xml:space="preserve">로우더</t>
  </si>
  <si>
    <r>
      <rPr>
        <sz val="10"/>
        <color rgb="FF000000"/>
        <rFont val="맑은 고딕"/>
        <family val="3"/>
        <charset val="129"/>
      </rPr>
      <t xml:space="preserve">0.57 </t>
    </r>
    <r>
      <rPr>
        <sz val="10"/>
        <color rgb="FF000000"/>
        <rFont val="Noto Sans CJK SC"/>
        <family val="2"/>
      </rPr>
      <t xml:space="preserve">㎥</t>
    </r>
  </si>
  <si>
    <t xml:space="preserve">덤프</t>
  </si>
  <si>
    <t xml:space="preserve">15 TON</t>
  </si>
  <si>
    <t xml:space="preserve">크레인</t>
  </si>
  <si>
    <t xml:space="preserve">착공전 사진대지</t>
  </si>
  <si>
    <t xml:space="preserve">사  진  대  지</t>
  </si>
  <si>
    <t xml:space="preserve">현장전경(정면)</t>
  </si>
  <si>
    <t xml:space="preserve">현장전경(배면)</t>
  </si>
  <si>
    <t xml:space="preserve">현장전경(동측)</t>
  </si>
  <si>
    <t xml:space="preserve">현장전경(서측)</t>
  </si>
  <si>
    <t xml:space="preserve">도급계약서</t>
  </si>
  <si>
    <t xml:space="preserve">건설공사의 직접시공계획서</t>
  </si>
  <si>
    <t xml:space="preserve">①공종</t>
  </si>
  <si>
    <t xml:space="preserve">■ 공공기관   □ 민간</t>
  </si>
  <si>
    <t xml:space="preserve">영업소소재지</t>
  </si>
  <si>
    <t xml:space="preserve">도급(공동)</t>
  </si>
  <si>
    <t xml:space="preserve">도급방법</t>
  </si>
  <si>
    <t xml:space="preserve">■ 단독도급   □공동도급 (□공동이행방식 □분담이행방식 □주계약자관리방식)</t>
  </si>
  <si>
    <t xml:space="preserve">계약성질</t>
  </si>
  <si>
    <t xml:space="preserve">□ 장기계속공사 ■ 기타공사</t>
  </si>
  <si>
    <t xml:space="preserve">②계약일</t>
  </si>
  <si>
    <t xml:space="preserve">③ 착    공    일</t>
  </si>
  <si>
    <t xml:space="preserve">④준공예정일</t>
  </si>
  <si>
    <t xml:space="preserve">⑤총 노무비</t>
  </si>
  <si>
    <t xml:space="preserve">직  접  시  공  계  획</t>
  </si>
  <si>
    <t xml:space="preserve">직접시공공종</t>
  </si>
  <si>
    <t xml:space="preserve">하도급(예정)공종</t>
  </si>
  <si>
    <t xml:space="preserve">⑥세부공종</t>
  </si>
  <si>
    <t xml:space="preserve">금액</t>
  </si>
  <si>
    <t xml:space="preserve">세부공종</t>
  </si>
  <si>
    <t xml:space="preserve">소계</t>
  </si>
  <si>
    <t xml:space="preserve">간접노무비</t>
  </si>
  <si>
    <t xml:space="preserve">직접시공 금액 합계 (직접시공 노무비)</t>
  </si>
  <si>
    <t xml:space="preserve">『건설산업기본법』 제 28조 2의 규정에 의하여 건설공사의 직접시공계획을 통보합니다.</t>
  </si>
  <si>
    <t xml:space="preserve">대표 :</t>
  </si>
  <si>
    <t xml:space="preserve">귀하</t>
  </si>
  <si>
    <t xml:space="preserve">구비서류 </t>
  </si>
  <si>
    <r>
      <rPr>
        <sz val="10"/>
        <color theme="1"/>
        <rFont val="맑은 고딕"/>
        <family val="3"/>
        <charset val="129"/>
      </rPr>
      <t xml:space="preserve">1. </t>
    </r>
    <r>
      <rPr>
        <sz val="10"/>
        <color theme="1"/>
        <rFont val="Noto Sans CJK SC"/>
        <family val="2"/>
      </rPr>
      <t xml:space="preserve">직접시공 및 하도급할 공사량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공사단가 및 공사금액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노무비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이 명시된 공사내역서</t>
    </r>
  </si>
  <si>
    <r>
      <rPr>
        <sz val="10"/>
        <color theme="1"/>
        <rFont val="맑은 고딕"/>
        <family val="3"/>
        <charset val="129"/>
      </rPr>
      <t xml:space="preserve">2. </t>
    </r>
    <r>
      <rPr>
        <sz val="10"/>
        <color theme="1"/>
        <rFont val="Noto Sans CJK SC"/>
        <family val="2"/>
      </rPr>
      <t xml:space="preserve">예정공정표</t>
    </r>
  </si>
  <si>
    <t xml:space="preserve">직 접 시 공 금 액</t>
  </si>
  <si>
    <t xml:space="preserve">건축</t>
  </si>
  <si>
    <t xml:space="preserve">기계</t>
  </si>
  <si>
    <t xml:space="preserve">토목</t>
  </si>
  <si>
    <t xml:space="preserve"> 총계</t>
  </si>
  <si>
    <t xml:space="preserve">공사비</t>
  </si>
  <si>
    <t xml:space="preserve">품      명</t>
  </si>
  <si>
    <t xml:space="preserve">규      격</t>
  </si>
  <si>
    <t xml:space="preserve">단위</t>
  </si>
  <si>
    <t xml:space="preserve">재  료  비</t>
  </si>
  <si>
    <t xml:space="preserve">노  무  비</t>
  </si>
  <si>
    <t xml:space="preserve">경      비</t>
  </si>
  <si>
    <t xml:space="preserve">도급액</t>
  </si>
  <si>
    <t xml:space="preserve">직접시공금액</t>
  </si>
  <si>
    <t xml:space="preserve">하도급</t>
  </si>
  <si>
    <t xml:space="preserve">하도급율</t>
  </si>
  <si>
    <t xml:space="preserve">비  고</t>
  </si>
  <si>
    <t xml:space="preserve">공종코드</t>
  </si>
  <si>
    <t xml:space="preserve">변수</t>
  </si>
  <si>
    <t xml:space="preserve">상위공종</t>
  </si>
  <si>
    <t xml:space="preserve">공종구분</t>
  </si>
  <si>
    <t xml:space="preserve">공종레벨</t>
  </si>
  <si>
    <t xml:space="preserve">공종소계</t>
  </si>
  <si>
    <t xml:space="preserve">원가계산서 연결금액</t>
  </si>
  <si>
    <t xml:space="preserve">총공사비</t>
  </si>
  <si>
    <t xml:space="preserve">단  가</t>
  </si>
  <si>
    <t xml:space="preserve">금  액</t>
  </si>
  <si>
    <t xml:space="preserve">지반조성·포장</t>
  </si>
  <si>
    <t xml:space="preserve">실내건축</t>
  </si>
  <si>
    <t xml:space="preserve">금속창호·지붕건축물</t>
  </si>
  <si>
    <t xml:space="preserve">도장·습식·방수·석공</t>
  </si>
  <si>
    <t xml:space="preserve">조경식재</t>
  </si>
  <si>
    <t xml:space="preserve">철근·콘크리트</t>
  </si>
  <si>
    <t xml:space="preserve">구조물해체·비계</t>
  </si>
  <si>
    <t xml:space="preserve">상·하수도</t>
  </si>
  <si>
    <t xml:space="preserve">철강구조물</t>
  </si>
  <si>
    <t xml:space="preserve">기계가스설비공사업</t>
  </si>
  <si>
    <t xml:space="preserve">가스난방</t>
  </si>
  <si>
    <t xml:space="preserve">시설물유지</t>
  </si>
  <si>
    <t xml:space="preserve">총계</t>
  </si>
  <si>
    <t xml:space="preserve">01</t>
  </si>
  <si>
    <t xml:space="preserve">전체</t>
  </si>
  <si>
    <t xml:space="preserve">01010101</t>
  </si>
  <si>
    <t xml:space="preserve">010101</t>
  </si>
  <si>
    <t xml:space="preserve">면허필요여부
1500만원이상</t>
  </si>
  <si>
    <r>
      <rPr>
        <sz val="11"/>
        <color rgb="FF000000"/>
        <rFont val="맑은 고딕"/>
        <family val="3"/>
        <charset val="129"/>
      </rPr>
      <t xml:space="preserve"> 1.</t>
    </r>
    <r>
      <rPr>
        <sz val="11"/>
        <color rgb="FF000000"/>
        <rFont val="Noto Sans CJK SC"/>
        <family val="2"/>
      </rPr>
      <t xml:space="preserve">토  공  사</t>
    </r>
  </si>
  <si>
    <t xml:space="preserve">0101010101</t>
  </si>
  <si>
    <r>
      <rPr>
        <sz val="11"/>
        <color rgb="FF000000"/>
        <rFont val="맑은 고딕"/>
        <family val="3"/>
        <charset val="129"/>
      </rPr>
      <t xml:space="preserve"> 2.</t>
    </r>
    <r>
      <rPr>
        <sz val="11"/>
        <color rgb="FF000000"/>
        <rFont val="Noto Sans CJK SC"/>
        <family val="2"/>
      </rPr>
      <t xml:space="preserve">철 거 공 사</t>
    </r>
  </si>
  <si>
    <t xml:space="preserve">0101010102</t>
  </si>
  <si>
    <r>
      <rPr>
        <sz val="11"/>
        <color rgb="FF000000"/>
        <rFont val="맑은 고딕"/>
        <family val="3"/>
        <charset val="129"/>
      </rPr>
      <t xml:space="preserve"> 3.</t>
    </r>
    <r>
      <rPr>
        <sz val="11"/>
        <color rgb="FF000000"/>
        <rFont val="Noto Sans CJK SC"/>
        <family val="2"/>
      </rPr>
      <t xml:space="preserve">우 수 공 사</t>
    </r>
  </si>
  <si>
    <t xml:space="preserve">0101010103</t>
  </si>
  <si>
    <r>
      <rPr>
        <sz val="11"/>
        <color rgb="FF000000"/>
        <rFont val="맑은 고딕"/>
        <family val="3"/>
        <charset val="129"/>
      </rPr>
      <t xml:space="preserve"> 4.</t>
    </r>
    <r>
      <rPr>
        <sz val="11"/>
        <color rgb="FF000000"/>
        <rFont val="Noto Sans CJK SC"/>
        <family val="2"/>
      </rPr>
      <t xml:space="preserve">포 장 공 사</t>
    </r>
  </si>
  <si>
    <t xml:space="preserve">0101010104</t>
  </si>
  <si>
    <r>
      <rPr>
        <sz val="11"/>
        <color rgb="FF000000"/>
        <rFont val="맑은 고딕"/>
        <family val="3"/>
        <charset val="129"/>
      </rPr>
      <t xml:space="preserve"> 5.</t>
    </r>
    <r>
      <rPr>
        <sz val="11"/>
        <color rgb="FF000000"/>
        <rFont val="Noto Sans CJK SC"/>
        <family val="2"/>
      </rPr>
      <t xml:space="preserve">구 조 물 공 사</t>
    </r>
  </si>
  <si>
    <t xml:space="preserve">0101010105</t>
  </si>
  <si>
    <r>
      <rPr>
        <sz val="11"/>
        <color rgb="FF000000"/>
        <rFont val="맑은 고딕"/>
        <family val="3"/>
        <charset val="129"/>
      </rPr>
      <t xml:space="preserve"> 6.</t>
    </r>
    <r>
      <rPr>
        <sz val="11"/>
        <color rgb="FF000000"/>
        <rFont val="Noto Sans CJK SC"/>
        <family val="2"/>
      </rPr>
      <t xml:space="preserve">부 대 공 사</t>
    </r>
  </si>
  <si>
    <t xml:space="preserve">0101010106</t>
  </si>
  <si>
    <t xml:space="preserve">운 반 비</t>
  </si>
  <si>
    <t xml:space="preserve">0102</t>
  </si>
  <si>
    <t xml:space="preserve">7</t>
  </si>
  <si>
    <t xml:space="preserve">폐 기 물 처 리 비</t>
  </si>
  <si>
    <t xml:space="preserve">0103</t>
  </si>
  <si>
    <r>
      <rPr>
        <sz val="11"/>
        <color rgb="FF000000"/>
        <rFont val="맑은 고딕"/>
        <family val="3"/>
        <charset val="129"/>
      </rPr>
      <t xml:space="preserve">[ </t>
    </r>
    <r>
      <rPr>
        <sz val="11"/>
        <color rgb="FF000000"/>
        <rFont val="Noto Sans CJK SC"/>
        <family val="2"/>
      </rPr>
      <t xml:space="preserve">합           계 </t>
    </r>
    <r>
      <rPr>
        <sz val="11"/>
        <color rgb="FF000000"/>
        <rFont val="맑은 고딕"/>
        <family val="3"/>
        <charset val="129"/>
      </rPr>
      <t xml:space="preserve">]</t>
    </r>
  </si>
  <si>
    <t xml:space="preserve">현장기구조직표</t>
  </si>
  <si>
    <t xml:space="preserve">계약자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</si>
</sst>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0%"/>
    <numFmt numFmtId="166" formatCode="_(* #,##0_);_(* \(#,##0\);_(* \-_);_(@_)"/>
    <numFmt numFmtId="167" formatCode="_(\$* #,##0_);_(\$* \(#,##0\);_(\$* \-_);_(@_)"/>
    <numFmt numFmtId="168" formatCode="m/d/yyyy"/>
    <numFmt numFmtId="169" formatCode="#,##0"/>
    <numFmt numFmtId="170" formatCode="yyyy&quot;년 &quot;m&quot;월 &quot;d\일"/>
    <numFmt numFmtId="171" formatCode="yyyy\.mm\.dd"/>
    <numFmt numFmtId="172" formatCode="@&quot; 귀하&quot;"/>
    <numFmt numFmtId="173" formatCode="General"/>
    <numFmt numFmtId="174" formatCode="[$-409]&quot;일금 &quot;[$-412]General&quot; 원정&quot;"/>
    <numFmt numFmtId="175" formatCode="&quot;(₩ &quot;#,##0\)"/>
    <numFmt numFmtId="176" formatCode="000000\-0000000"/>
    <numFmt numFmtId="177" formatCode="yyyy&quot;년 &quot;m&quot;월 &quot;d\일;@"/>
    <numFmt numFmtId="178" formatCode="0.00%"/>
    <numFmt numFmtId="179" formatCode="&quot;₩ &quot;#,##0&quot; 원&quot;"/>
    <numFmt numFmtId="180" formatCode="_-* #,##0_-;\-* #,##0_-;_-* \-_-;_-@_-"/>
    <numFmt numFmtId="181" formatCode="@"/>
    <numFmt numFmtId="182" formatCode="_-* #,##0.00_-;\-* #,##0.00_-;_-* \-??_-;_-@_-"/>
    <numFmt numFmtId="183" formatCode="&quot;₩ &quot;#,##0;&quot;-₩&quot;#,##0"/>
    <numFmt numFmtId="184" formatCode="#,##0_ "/>
    <numFmt numFmtId="185" formatCode="#,###"/>
    <numFmt numFmtId="186" formatCode="0.00_ "/>
  </numFmts>
  <fonts count="79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새굴림"/>
      <family val="1"/>
      <charset val="129"/>
    </font>
    <font>
      <sz val="11"/>
      <color rgb="FF000000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1"/>
      <name val="맑은 고딕"/>
      <family val="3"/>
      <charset val="129"/>
    </font>
    <font>
      <b val="true"/>
      <sz val="18"/>
      <name val="Noto Sans CJK SC"/>
      <family val="2"/>
      <charset val="1"/>
    </font>
    <font>
      <sz val="11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b val="true"/>
      <sz val="16"/>
      <name val="Noto Sans CJK SC"/>
      <family val="2"/>
      <charset val="1"/>
    </font>
    <font>
      <sz val="36"/>
      <color theme="1"/>
      <name val="Noto Sans CJK SC"/>
      <family val="2"/>
      <charset val="1"/>
    </font>
    <font>
      <sz val="17"/>
      <color theme="1"/>
      <name val="맑은 고딕"/>
      <family val="3"/>
      <charset val="129"/>
    </font>
    <font>
      <b val="true"/>
      <sz val="20"/>
      <color theme="1"/>
      <name val="맑은 고딕"/>
      <family val="3"/>
      <charset val="129"/>
    </font>
    <font>
      <sz val="20"/>
      <color theme="1"/>
      <name val="Noto Sans CJK SC"/>
      <family val="2"/>
      <charset val="1"/>
    </font>
    <font>
      <sz val="18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6"/>
      <color rgb="FF000000"/>
      <name val="Noto Sans CJK SC"/>
      <family val="2"/>
    </font>
    <font>
      <sz val="24"/>
      <color theme="1"/>
      <name val="맑은 고딕"/>
      <family val="3"/>
      <charset val="129"/>
    </font>
    <font>
      <sz val="24"/>
      <color theme="1"/>
      <name val="Noto Sans CJK SC"/>
      <family val="2"/>
    </font>
    <font>
      <b val="true"/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0"/>
      <name val="Noto Sans CJK SC"/>
      <family val="2"/>
      <charset val="1"/>
    </font>
    <font>
      <sz val="11"/>
      <color rgb="FF000000"/>
      <name val="굴림"/>
      <family val="3"/>
      <charset val="129"/>
    </font>
    <font>
      <b val="true"/>
      <sz val="24"/>
      <color rgb="FF000000"/>
      <name val="맑은 고딕"/>
      <family val="3"/>
      <charset val="129"/>
    </font>
    <font>
      <b val="true"/>
      <sz val="24"/>
      <color rgb="FF000000"/>
      <name val="Noto Sans CJK SC"/>
      <family val="2"/>
    </font>
    <font>
      <sz val="11"/>
      <color rgb="FFFF0000"/>
      <name val="HY헤드라인M"/>
      <family val="1"/>
      <charset val="129"/>
    </font>
    <font>
      <b val="true"/>
      <sz val="11"/>
      <color rgb="FF000000"/>
      <name val="Noto Sans CJK SC"/>
      <family val="2"/>
      <charset val="1"/>
    </font>
    <font>
      <b val="true"/>
      <sz val="12"/>
      <color rgb="FF000000"/>
      <name val="맑은 고딕"/>
      <family val="3"/>
      <charset val="129"/>
    </font>
    <font>
      <sz val="10"/>
      <color rgb="FF000000"/>
      <name val="Noto Sans CJK SC"/>
      <family val="2"/>
      <charset val="1"/>
    </font>
    <font>
      <sz val="10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8"/>
      <color rgb="FF000000"/>
      <name val="Noto Sans CJK SC"/>
      <family val="2"/>
      <charset val="1"/>
    </font>
    <font>
      <b val="true"/>
      <sz val="9"/>
      <color rgb="FF000000"/>
      <name val="맑은 고딕"/>
      <family val="3"/>
      <charset val="129"/>
    </font>
    <font>
      <b val="true"/>
      <sz val="15"/>
      <color rgb="FF000000"/>
      <name val="맑은 고딕"/>
      <family val="3"/>
      <charset val="129"/>
    </font>
    <font>
      <b val="true"/>
      <sz val="15"/>
      <color rgb="FF000000"/>
      <name val="Noto Sans CJK SC"/>
      <family val="2"/>
    </font>
    <font>
      <b val="true"/>
      <sz val="10"/>
      <color rgb="FF000000"/>
      <name val="맑은 고딕"/>
      <family val="3"/>
      <charset val="129"/>
    </font>
    <font>
      <b val="true"/>
      <sz val="10"/>
      <color rgb="FF000000"/>
      <name val="Noto Sans CJK SC"/>
      <family val="2"/>
    </font>
    <font>
      <sz val="10"/>
      <color theme="1"/>
      <name val="Noto Sans CJK SC"/>
      <family val="2"/>
      <charset val="1"/>
    </font>
    <font>
      <sz val="10"/>
      <color rgb="FF000000"/>
      <name val="Noto Sans CJK SC"/>
      <family val="2"/>
    </font>
    <font>
      <sz val="10"/>
      <color theme="1"/>
      <name val="Noto Sans CJK SC"/>
      <family val="2"/>
    </font>
    <font>
      <b val="true"/>
      <sz val="10"/>
      <color theme="1"/>
      <name val="맑은 고딕"/>
      <family val="3"/>
      <charset val="129"/>
    </font>
    <font>
      <b val="true"/>
      <sz val="10"/>
      <color theme="1"/>
      <name val="Noto Sans CJK SC"/>
      <family val="2"/>
    </font>
    <font>
      <b val="true"/>
      <sz val="24"/>
      <name val="맑은 고딕"/>
      <family val="3"/>
      <charset val="129"/>
    </font>
    <font>
      <b val="true"/>
      <sz val="11"/>
      <name val="Noto Sans CJK SC"/>
      <family val="2"/>
    </font>
    <font>
      <sz val="9"/>
      <color theme="1"/>
      <name val="맑은 고딕"/>
      <family val="3"/>
      <charset val="129"/>
    </font>
    <font>
      <sz val="9"/>
      <color theme="1"/>
      <name val="Noto Sans CJK SC"/>
      <family val="2"/>
      <charset val="1"/>
    </font>
    <font>
      <b val="true"/>
      <sz val="12"/>
      <name val="맑은 고딕"/>
      <family val="3"/>
      <charset val="129"/>
    </font>
    <font>
      <b val="true"/>
      <sz val="12"/>
      <name val="Noto Sans CJK SC"/>
      <family val="2"/>
    </font>
    <font>
      <b val="true"/>
      <sz val="14"/>
      <color rgb="FF000000"/>
      <name val="맑은 고딕"/>
      <family val="3"/>
      <charset val="129"/>
    </font>
    <font>
      <b val="true"/>
      <sz val="14"/>
      <color rgb="FF000000"/>
      <name val="Noto Sans CJK SC"/>
      <family val="2"/>
    </font>
    <font>
      <sz val="24"/>
      <color theme="1"/>
      <name val="Noto Sans CJK SC"/>
      <family val="2"/>
      <charset val="1"/>
    </font>
    <font>
      <sz val="20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b val="true"/>
      <sz val="18"/>
      <color theme="1"/>
      <name val="맑은 고딕"/>
      <family val="3"/>
      <charset val="129"/>
    </font>
    <font>
      <b val="true"/>
      <sz val="18"/>
      <color theme="1"/>
      <name val="Noto Sans CJK SC"/>
      <family val="2"/>
      <charset val="1"/>
    </font>
    <font>
      <sz val="22"/>
      <color theme="1"/>
      <name val="Noto Sans CJK SC"/>
      <family val="2"/>
      <charset val="1"/>
    </font>
    <font>
      <b val="true"/>
      <sz val="11"/>
      <color theme="1"/>
      <name val="Noto Sans CJK SC"/>
      <family val="2"/>
      <charset val="1"/>
    </font>
    <font>
      <sz val="8"/>
      <color theme="1"/>
      <name val="맑은 고딕"/>
      <family val="3"/>
      <charset val="129"/>
    </font>
    <font>
      <b val="true"/>
      <sz val="10"/>
      <color theme="1"/>
      <name val="Noto Sans CJK SC"/>
      <family val="2"/>
      <charset val="1"/>
    </font>
    <font>
      <b val="true"/>
      <sz val="12"/>
      <color theme="1"/>
      <name val="Noto Sans CJK SC"/>
      <family val="2"/>
      <charset val="1"/>
    </font>
    <font>
      <b val="true"/>
      <u val="single"/>
      <sz val="16"/>
      <color rgb="FF000000"/>
      <name val="Noto Sans CJK SC"/>
      <family val="2"/>
      <charset val="1"/>
    </font>
    <font>
      <b val="true"/>
      <u val="single"/>
      <sz val="16"/>
      <color rgb="FF000000"/>
      <name val="맑은 고딕"/>
      <family val="3"/>
      <charset val="129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sz val="20"/>
      <color rgb="FF000000"/>
      <name val="Noto Sans CJK SC"/>
      <family val="2"/>
      <charset val="1"/>
    </font>
    <font>
      <sz val="8"/>
      <color rgb="FF000000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DFB3"/>
      </patternFill>
    </fill>
    <fill>
      <patternFill patternType="solid">
        <fgColor rgb="FFBFBFBF"/>
        <bgColor rgb="FFE6B9B8"/>
      </patternFill>
    </fill>
    <fill>
      <patternFill patternType="solid">
        <fgColor theme="0"/>
        <bgColor rgb="FFEDF6F9"/>
      </patternFill>
    </fill>
    <fill>
      <patternFill patternType="solid">
        <fgColor theme="5" tint="0.5999"/>
        <bgColor rgb="FFF5C6C6"/>
      </patternFill>
    </fill>
    <fill>
      <patternFill patternType="solid">
        <fgColor theme="9" tint="0.5999"/>
        <bgColor rgb="FFFFDFB3"/>
      </patternFill>
    </fill>
    <fill>
      <patternFill patternType="solid">
        <fgColor theme="6" tint="0.5999"/>
        <bgColor rgb="FFE6EEC9"/>
      </patternFill>
    </fill>
    <fill>
      <patternFill patternType="solid">
        <fgColor theme="0" tint="-0.05"/>
        <bgColor rgb="FFEDF6F9"/>
      </patternFill>
    </fill>
    <fill>
      <patternFill patternType="solid">
        <fgColor theme="0" tint="-0.15"/>
        <bgColor rgb="FFD7E4BD"/>
      </patternFill>
    </fill>
    <fill>
      <patternFill patternType="solid">
        <fgColor theme="4" tint="0.7999"/>
        <bgColor rgb="FFD9D9D9"/>
      </patternFill>
    </fill>
    <fill>
      <patternFill patternType="solid">
        <fgColor rgb="FFEDF6F9"/>
        <bgColor rgb="FFF2F2F2"/>
      </patternFill>
    </fill>
    <fill>
      <patternFill patternType="solid">
        <fgColor rgb="FFFFDFB3"/>
        <bgColor rgb="FFFCD5B5"/>
      </patternFill>
    </fill>
    <fill>
      <patternFill patternType="solid">
        <fgColor rgb="FFE6EEC9"/>
        <bgColor rgb="FFD7E4BD"/>
      </patternFill>
    </fill>
    <fill>
      <patternFill patternType="solid">
        <fgColor rgb="FFCDF2E4"/>
        <bgColor rgb="FFDCE6F2"/>
      </patternFill>
    </fill>
    <fill>
      <patternFill patternType="solid">
        <fgColor rgb="FFB3FFB3"/>
        <bgColor rgb="FFCDF2E4"/>
      </patternFill>
    </fill>
    <fill>
      <patternFill patternType="solid">
        <fgColor rgb="FFFFB689"/>
        <bgColor rgb="FFE6B9B8"/>
      </patternFill>
    </fill>
    <fill>
      <patternFill patternType="solid">
        <fgColor rgb="FFF5C6C6"/>
        <bgColor rgb="FFFCD5B5"/>
      </patternFill>
    </fill>
  </fills>
  <borders count="10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double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hair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 style="hair"/>
      <bottom style="double"/>
      <diagonal/>
    </border>
    <border diagonalUp="false" diagonalDown="false">
      <left style="hair"/>
      <right style="hair"/>
      <top style="hair"/>
      <bottom style="double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 style="thin"/>
      <right style="hair"/>
      <top/>
      <bottom style="double"/>
      <diagonal/>
    </border>
    <border diagonalUp="false" diagonalDown="false">
      <left style="hair"/>
      <right style="hair"/>
      <top/>
      <bottom style="double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 style="medium"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medium"/>
      <right style="hair"/>
      <top style="thin"/>
      <bottom style="thin"/>
      <diagonal/>
    </border>
    <border diagonalUp="false" diagonalDown="false">
      <left style="hair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</borders>
  <cellStyleXfs count="3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255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right" vertical="center" textRotation="255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distributed" vertical="center" textRotation="0" wrapText="false" indent="7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distributed" vertical="center" textRotation="0" wrapText="false" indent="14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5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distributed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8" fillId="0" borderId="0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5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5" shrinkToFit="false"/>
      <protection locked="true" hidden="false"/>
    </xf>
    <xf numFmtId="164" fontId="14" fillId="0" borderId="0" xfId="0" applyFont="true" applyBorder="false" applyAlignment="true" applyProtection="false">
      <alignment horizontal="distributed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8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4" fontId="3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distributed" vertical="center" textRotation="0" wrapText="false" indent="12" shrinkToFit="false"/>
      <protection locked="true" hidden="false"/>
    </xf>
    <xf numFmtId="164" fontId="10" fillId="0" borderId="12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0" fillId="0" borderId="13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4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73" fontId="8" fillId="0" borderId="1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8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8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8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4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8" fontId="8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8" fontId="10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32" fillId="0" borderId="0" xfId="0" applyFont="true" applyBorder="true" applyAlignment="true" applyProtection="false">
      <alignment horizontal="distributed" vertical="center" textRotation="0" wrapText="false" indent="11" shrinkToFit="false"/>
      <protection locked="true" hidden="false"/>
    </xf>
    <xf numFmtId="164" fontId="8" fillId="0" borderId="0" xfId="0" applyFont="true" applyBorder="false" applyAlignment="true" applyProtection="false">
      <alignment horizontal="distributed" vertical="center" textRotation="0" wrapText="false" indent="1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4" fillId="0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7" fillId="0" borderId="1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38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9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40" fillId="0" borderId="2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9" fillId="0" borderId="2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3" borderId="1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2" fillId="3" borderId="1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2" fillId="3" borderId="2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42" fillId="3" borderId="2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42" fillId="3" borderId="2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42" fillId="3" borderId="2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42" fillId="3" borderId="2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2" fillId="0" borderId="1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4" fillId="0" borderId="29" xfId="0" applyFont="true" applyBorder="true" applyAlignment="true" applyProtection="false">
      <alignment horizontal="left" vertical="center" textRotation="0" wrapText="true" indent="1" shrinkToFit="true"/>
      <protection locked="true" hidden="false"/>
    </xf>
    <xf numFmtId="178" fontId="45" fillId="4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1" fillId="0" borderId="19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78" fontId="4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4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5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3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73" fontId="31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77" fontId="31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1" fillId="0" borderId="4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8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distributed" vertical="center" textRotation="0" wrapText="false" indent="1" shrinkToFit="false"/>
      <protection locked="true" hidden="false"/>
    </xf>
    <xf numFmtId="164" fontId="39" fillId="9" borderId="43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40" fillId="0" borderId="4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9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0" fillId="0" borderId="42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39" fillId="9" borderId="43" xfId="0" applyFont="true" applyBorder="true" applyAlignment="true" applyProtection="false">
      <alignment horizontal="distributed" vertical="center" textRotation="0" wrapText="false" indent="3" shrinkToFit="false"/>
      <protection locked="true" hidden="false"/>
    </xf>
    <xf numFmtId="173" fontId="40" fillId="0" borderId="44" xfId="0" applyFont="true" applyBorder="true" applyAlignment="true" applyProtection="false">
      <alignment horizontal="distributed" vertical="center" textRotation="0" wrapText="false" indent="3" shrinkToFit="false"/>
      <protection locked="true" hidden="false"/>
    </xf>
    <xf numFmtId="164" fontId="5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0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4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40" fillId="0" borderId="0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40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3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4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9" fillId="0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4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4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0" borderId="25" xfId="0" applyFont="true" applyBorder="true" applyAlignment="true" applyProtection="false">
      <alignment horizontal="distributed" vertical="center" textRotation="0" wrapText="false" indent="3" shrinkToFit="false"/>
      <protection locked="true" hidden="false"/>
    </xf>
    <xf numFmtId="164" fontId="4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1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6" xfId="0" applyFont="true" applyBorder="true" applyAlignment="true" applyProtection="false">
      <alignment horizontal="distributed" vertical="center" textRotation="0" wrapText="true" indent="1" shrinkToFit="false"/>
      <protection locked="true" hidden="false"/>
    </xf>
    <xf numFmtId="164" fontId="4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distributed" vertical="center" textRotation="0" wrapText="fals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73" fontId="17" fillId="0" borderId="6" xfId="0" applyFont="true" applyBorder="true" applyAlignment="true" applyProtection="false">
      <alignment horizontal="distributed" vertical="center" textRotation="0" wrapText="false" indent="2" shrinkToFit="true"/>
      <protection locked="true" hidden="false"/>
    </xf>
    <xf numFmtId="164" fontId="14" fillId="0" borderId="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73" fontId="17" fillId="0" borderId="6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73" fontId="17" fillId="0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1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17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4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9" fontId="1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4" xfId="0" applyFont="true" applyBorder="true" applyAlignment="true" applyProtection="false">
      <alignment horizontal="distributed" vertical="center" textRotation="0" wrapText="true" indent="1" shrinkToFit="false"/>
      <protection locked="true" hidden="false"/>
    </xf>
    <xf numFmtId="179" fontId="1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4" fillId="0" borderId="48" xfId="0" applyFont="true" applyBorder="true" applyAlignment="true" applyProtection="false">
      <alignment horizontal="distributed" vertical="center" textRotation="0" wrapText="false" indent="1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56" xfId="0" applyFont="true" applyBorder="true" applyAlignment="true" applyProtection="false">
      <alignment horizontal="distributed" vertical="center" textRotation="0" wrapText="false" indent="5" shrinkToFit="false"/>
      <protection locked="true" hidden="false"/>
    </xf>
    <xf numFmtId="164" fontId="14" fillId="0" borderId="56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14" fillId="0" borderId="5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7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6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80" fontId="17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31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80" fontId="1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1" xfId="0" applyFont="true" applyBorder="true" applyAlignment="true" applyProtection="false">
      <alignment horizontal="distributed" vertical="center" textRotation="0" wrapText="false" indent="7" shrinkToFit="false"/>
      <protection locked="true" hidden="false"/>
    </xf>
    <xf numFmtId="180" fontId="17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59" xfId="0" applyFont="true" applyBorder="true" applyAlignment="true" applyProtection="false">
      <alignment horizontal="distributed" vertical="center" textRotation="0" wrapText="false" indent="7" shrinkToFit="false"/>
      <protection locked="true" hidden="false"/>
    </xf>
    <xf numFmtId="164" fontId="17" fillId="0" borderId="6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4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80" fontId="17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5" xfId="0" applyFont="true" applyBorder="true" applyAlignment="true" applyProtection="false">
      <alignment horizontal="distributed" vertical="center" textRotation="0" wrapText="false" indent="7" shrinkToFit="false"/>
      <protection locked="true" hidden="false"/>
    </xf>
    <xf numFmtId="180" fontId="17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1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6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2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3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0" borderId="4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0" borderId="42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3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1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3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3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left" vertical="center" textRotation="0" wrapText="false" indent="2" shrinkToFit="true"/>
      <protection locked="true" hidden="false"/>
    </xf>
    <xf numFmtId="164" fontId="17" fillId="4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17" fillId="4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4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17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4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5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7" fillId="0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6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7" fillId="0" borderId="5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6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3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distributed" vertical="center" textRotation="0" wrapText="false" indent="7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9" borderId="68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39" fillId="9" borderId="69" xfId="0" applyFont="true" applyBorder="true" applyAlignment="true" applyProtection="false">
      <alignment horizontal="distributed" vertical="center" textRotation="0" wrapText="false" indent="4" shrinkToFit="false"/>
      <protection locked="true" hidden="false"/>
    </xf>
    <xf numFmtId="164" fontId="39" fillId="9" borderId="69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39" fillId="9" borderId="1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9" borderId="19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9" fontId="39" fillId="0" borderId="70" xfId="0" applyFont="true" applyBorder="true" applyAlignment="true" applyProtection="false">
      <alignment horizontal="distributed" vertical="center" textRotation="0" wrapText="false" indent="1" shrinkToFit="true"/>
      <protection locked="true" hidden="false"/>
    </xf>
    <xf numFmtId="164" fontId="4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7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8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8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68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9" borderId="6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9" fillId="9" borderId="69" xfId="0" applyFont="true" applyBorder="true" applyAlignment="true" applyProtection="false">
      <alignment horizontal="distributed" vertical="center" textRotation="0" wrapText="false" indent="3" shrinkToFit="false"/>
      <protection locked="true" hidden="false"/>
    </xf>
    <xf numFmtId="164" fontId="39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1" borderId="7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11" borderId="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27" fillId="11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1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84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1" fillId="0" borderId="8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0" borderId="8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0" borderId="9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1" fillId="0" borderId="87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64" fontId="50" fillId="0" borderId="88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31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1" fillId="0" borderId="3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64" fontId="5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1" fillId="0" borderId="6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31" fillId="0" borderId="89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64" fontId="50" fillId="0" borderId="9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73" fontId="31" fillId="0" borderId="6" xfId="0" applyFont="true" applyBorder="true" applyAlignment="true" applyProtection="false">
      <alignment horizontal="distributed" vertical="center" textRotation="0" wrapText="false" indent="1" shrinkToFit="true"/>
      <protection locked="true" hidden="false"/>
    </xf>
    <xf numFmtId="173" fontId="31" fillId="0" borderId="8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0" borderId="91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0" fillId="0" borderId="92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50" fillId="0" borderId="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31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1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1" fillId="0" borderId="9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83" fontId="3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8" borderId="70" xfId="0" applyFont="true" applyBorder="true" applyAlignment="true" applyProtection="false">
      <alignment horizontal="distributed" vertical="center" textRotation="0" wrapText="false" indent="5" shrinkToFit="false"/>
      <protection locked="true" hidden="false"/>
    </xf>
    <xf numFmtId="164" fontId="50" fillId="8" borderId="94" xfId="0" applyFont="true" applyBorder="true" applyAlignment="true" applyProtection="false">
      <alignment horizontal="distributed" vertical="center" textRotation="0" wrapText="false" indent="5" shrinkToFit="false"/>
      <protection locked="true" hidden="false"/>
    </xf>
    <xf numFmtId="164" fontId="50" fillId="0" borderId="84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50" fillId="0" borderId="3" xfId="0" applyFont="true" applyBorder="true" applyAlignment="true" applyProtection="false">
      <alignment horizontal="distributed" vertical="center" textRotation="0" wrapText="false" indent="3" shrinkToFit="false"/>
      <protection locked="true" hidden="false"/>
    </xf>
    <xf numFmtId="164" fontId="50" fillId="0" borderId="2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9" fontId="70" fillId="0" borderId="9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5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80" fontId="3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7" fillId="0" borderId="9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5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1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1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97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80" fontId="53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24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80" fontId="53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9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5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distributed" vertical="center" textRotation="0" wrapText="false" indent="2" shrinkToFit="false"/>
      <protection locked="true" hidden="false"/>
    </xf>
    <xf numFmtId="180" fontId="53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7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distributed" vertical="distributed" textRotation="0" wrapText="true" indent="0" shrinkToFit="false"/>
      <protection locked="true" hidden="false"/>
    </xf>
    <xf numFmtId="173" fontId="8" fillId="0" borderId="0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29" fillId="0" borderId="7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4" fontId="31" fillId="0" borderId="78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29" fillId="0" borderId="77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50" fillId="0" borderId="9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0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8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0" borderId="8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0" borderId="8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8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0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9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14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9" fillId="14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5" fillId="1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2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9" fillId="2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1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9" fillId="16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2" fillId="0" borderId="44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4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distributed" vertical="center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백분율 2" xfId="20"/>
    <cellStyle name="백분율 3" xfId="21"/>
    <cellStyle name="쉼표 [0] 2" xfId="22"/>
    <cellStyle name="쉼표 [0] 3" xfId="23"/>
    <cellStyle name="통화 [0] 2" xfId="24"/>
    <cellStyle name="표준 2" xfId="25"/>
    <cellStyle name="표준 2 2 6" xfId="26"/>
    <cellStyle name="표준 3" xfId="27"/>
    <cellStyle name="표준 3 3" xfId="28"/>
    <cellStyle name="표준 3 82" xfId="29"/>
    <cellStyle name="표준 4" xfId="30"/>
    <cellStyle name="표준 5" xfId="31"/>
    <cellStyle name="표준 6" xfId="32"/>
    <cellStyle name="표준 6 2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F6F9"/>
      <rgbColor rgb="FF660066"/>
      <rgbColor rgb="FFFFB689"/>
      <rgbColor rgb="FF0066CC"/>
      <rgbColor rgb="FFD9D9D9"/>
      <rgbColor rgb="FF000080"/>
      <rgbColor rgb="FFFF00FF"/>
      <rgbColor rgb="FFB3FFB3"/>
      <rgbColor rgb="FF00FFFF"/>
      <rgbColor rgb="FF800080"/>
      <rgbColor rgb="FF800000"/>
      <rgbColor rgb="FF008080"/>
      <rgbColor rgb="FF0000FF"/>
      <rgbColor rgb="FF00CCFF"/>
      <rgbColor rgb="FFDCE6F2"/>
      <rgbColor rgb="FFCDF2E4"/>
      <rgbColor rgb="FFE6EEC9"/>
      <rgbColor rgb="FFD7E4BD"/>
      <rgbColor rgb="FFE6B9B8"/>
      <rgbColor rgb="FFF5C6C6"/>
      <rgbColor rgb="FFFCD5B5"/>
      <rgbColor rgb="FF3366FF"/>
      <rgbColor rgb="FF33CCCC"/>
      <rgbColor rgb="FF99CC00"/>
      <rgbColor rgb="FFFFDFB3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56</xdr:col>
      <xdr:colOff>0</xdr:colOff>
      <xdr:row>82</xdr:row>
      <xdr:rowOff>0</xdr:rowOff>
    </xdr:from>
    <xdr:to>
      <xdr:col>63</xdr:col>
      <xdr:colOff>218520</xdr:colOff>
      <xdr:row>100</xdr:row>
      <xdr:rowOff>199440</xdr:rowOff>
    </xdr:to>
    <xdr:pic>
      <xdr:nvPicPr>
        <xdr:cNvPr id="0" name="그림 3" descr=""/>
        <xdr:cNvPicPr/>
      </xdr:nvPicPr>
      <xdr:blipFill>
        <a:blip r:embed="rId1"/>
        <a:stretch/>
      </xdr:blipFill>
      <xdr:spPr>
        <a:xfrm>
          <a:off x="44929440" y="12696840"/>
          <a:ext cx="5663520" cy="642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56</xdr:col>
      <xdr:colOff>150120</xdr:colOff>
      <xdr:row>82</xdr:row>
      <xdr:rowOff>150120</xdr:rowOff>
    </xdr:from>
    <xdr:to>
      <xdr:col>63</xdr:col>
      <xdr:colOff>435240</xdr:colOff>
      <xdr:row>101</xdr:row>
      <xdr:rowOff>73080</xdr:rowOff>
    </xdr:to>
    <xdr:pic>
      <xdr:nvPicPr>
        <xdr:cNvPr id="1" name="그림 6" descr=""/>
        <xdr:cNvPicPr/>
      </xdr:nvPicPr>
      <xdr:blipFill>
        <a:blip r:embed="rId2"/>
        <a:stretch/>
      </xdr:blipFill>
      <xdr:spPr>
        <a:xfrm>
          <a:off x="45079560" y="12846960"/>
          <a:ext cx="5730120" cy="646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56</xdr:col>
      <xdr:colOff>299880</xdr:colOff>
      <xdr:row>82</xdr:row>
      <xdr:rowOff>299880</xdr:rowOff>
    </xdr:from>
    <xdr:to>
      <xdr:col>63</xdr:col>
      <xdr:colOff>575280</xdr:colOff>
      <xdr:row>101</xdr:row>
      <xdr:rowOff>175320</xdr:rowOff>
    </xdr:to>
    <xdr:pic>
      <xdr:nvPicPr>
        <xdr:cNvPr id="2" name="그림 8" descr=""/>
        <xdr:cNvPicPr/>
      </xdr:nvPicPr>
      <xdr:blipFill>
        <a:blip r:embed="rId3"/>
        <a:stretch/>
      </xdr:blipFill>
      <xdr:spPr>
        <a:xfrm>
          <a:off x="45229320" y="12996720"/>
          <a:ext cx="5720400" cy="641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56</xdr:col>
      <xdr:colOff>450000</xdr:colOff>
      <xdr:row>83</xdr:row>
      <xdr:rowOff>135720</xdr:rowOff>
    </xdr:from>
    <xdr:to>
      <xdr:col>64</xdr:col>
      <xdr:colOff>106560</xdr:colOff>
      <xdr:row>102</xdr:row>
      <xdr:rowOff>201600</xdr:rowOff>
    </xdr:to>
    <xdr:pic>
      <xdr:nvPicPr>
        <xdr:cNvPr id="3" name="그림 10" descr=""/>
        <xdr:cNvPicPr/>
      </xdr:nvPicPr>
      <xdr:blipFill>
        <a:blip r:embed="rId4"/>
        <a:stretch/>
      </xdr:blipFill>
      <xdr:spPr>
        <a:xfrm>
          <a:off x="45379440" y="13146840"/>
          <a:ext cx="5879520" cy="660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6.5" zeroHeight="false" outlineLevelRow="0" outlineLevelCol="0"/>
  <cols>
    <col collapsed="false" customWidth="true" hidden="false" outlineLevel="0" max="2" min="2" style="1" width="17.88"/>
    <col collapsed="false" customWidth="true" hidden="false" outlineLevel="0" max="3" min="3" style="1" width="30.38"/>
    <col collapsed="false" customWidth="true" hidden="false" outlineLevel="0" max="4" min="4" style="1" width="14.38"/>
    <col collapsed="false" customWidth="true" hidden="false" outlineLevel="0" max="5" min="5" style="1" width="60.38"/>
  </cols>
  <sheetData>
    <row r="2" customFormat="false" ht="30" hidden="false" customHeight="true" outlineLevel="0" collapsed="false">
      <c r="B2" s="2" t="s">
        <v>0</v>
      </c>
      <c r="C2" s="3" t="s">
        <v>1</v>
      </c>
    </row>
    <row r="3" customFormat="false" ht="30" hidden="false" customHeight="true" outlineLevel="0" collapsed="false">
      <c r="B3" s="2" t="s">
        <v>2</v>
      </c>
      <c r="C3" s="2" t="s">
        <v>3</v>
      </c>
    </row>
    <row r="4" customFormat="false" ht="30" hidden="false" customHeight="true" outlineLevel="0" collapsed="false">
      <c r="B4" s="2" t="s">
        <v>4</v>
      </c>
      <c r="C4" s="3" t="s">
        <v>5</v>
      </c>
    </row>
    <row r="5" customFormat="false" ht="30" hidden="false" customHeight="true" outlineLevel="0" collapsed="false">
      <c r="B5" s="2" t="s">
        <v>6</v>
      </c>
      <c r="C5" s="4" t="n">
        <v>46035</v>
      </c>
    </row>
    <row r="6" customFormat="false" ht="30" hidden="false" customHeight="true" outlineLevel="0" collapsed="false">
      <c r="B6" s="2" t="s">
        <v>7</v>
      </c>
      <c r="C6" s="2" t="s">
        <v>8</v>
      </c>
      <c r="D6" s="3" t="s">
        <v>9</v>
      </c>
      <c r="E6" s="5" t="s">
        <v>10</v>
      </c>
    </row>
    <row r="7" customFormat="false" ht="30" hidden="false" customHeight="true" outlineLevel="0" collapsed="false">
      <c r="B7" s="2" t="s">
        <v>11</v>
      </c>
      <c r="C7" s="2" t="s">
        <v>12</v>
      </c>
    </row>
    <row r="8" customFormat="false" ht="30" hidden="false" customHeight="true" outlineLevel="0" collapsed="false">
      <c r="B8" s="2" t="s">
        <v>13</v>
      </c>
      <c r="C8" s="3" t="s">
        <v>14</v>
      </c>
      <c r="D8" s="3" t="s">
        <v>15</v>
      </c>
    </row>
    <row r="9" customFormat="false" ht="30" hidden="false" customHeight="true" outlineLevel="0" collapsed="false">
      <c r="B9" s="2" t="s">
        <v>16</v>
      </c>
      <c r="C9" s="6" t="n">
        <v>150000000</v>
      </c>
    </row>
    <row r="10" customFormat="false" ht="30" hidden="false" customHeight="true" outlineLevel="0" collapsed="false">
      <c r="B10" s="2" t="s">
        <v>17</v>
      </c>
      <c r="C10" s="7" t="n">
        <v>46029</v>
      </c>
    </row>
    <row r="11" customFormat="false" ht="30" hidden="false" customHeight="true" outlineLevel="0" collapsed="false">
      <c r="B11" s="2" t="s">
        <v>18</v>
      </c>
      <c r="C11" s="7" t="n">
        <v>46029</v>
      </c>
    </row>
    <row r="12" customFormat="false" ht="30" hidden="false" customHeight="true" outlineLevel="0" collapsed="false">
      <c r="B12" s="2" t="s">
        <v>19</v>
      </c>
      <c r="C12" s="7" t="n">
        <v>46073</v>
      </c>
    </row>
    <row r="13" customFormat="false" ht="30" hidden="false" customHeight="true" outlineLevel="0" collapsed="false">
      <c r="B13" s="2" t="s">
        <v>20</v>
      </c>
      <c r="C13" s="8" t="s">
        <v>12</v>
      </c>
      <c r="D13" s="2" t="s">
        <v>21</v>
      </c>
      <c r="E13" s="9" t="s">
        <v>22</v>
      </c>
    </row>
    <row r="14" customFormat="false" ht="30" hidden="false" customHeight="true" outlineLevel="0" collapsed="false">
      <c r="D14" s="2" t="s">
        <v>23</v>
      </c>
      <c r="E14" s="9" t="s">
        <v>24</v>
      </c>
    </row>
    <row r="15" customFormat="false" ht="16.5" hidden="false" customHeight="true" outlineLevel="0" collapsed="false">
      <c r="D15" s="2" t="s">
        <v>25</v>
      </c>
      <c r="E15" s="10"/>
    </row>
    <row r="16" customFormat="false" ht="16.5" hidden="false" customHeight="true" outlineLevel="0" collapsed="false">
      <c r="D16" s="2" t="s">
        <v>26</v>
      </c>
      <c r="E16" s="11"/>
    </row>
    <row r="17" customFormat="false" ht="16.5" hidden="false" customHeight="true" outlineLevel="0" collapsed="false">
      <c r="C17" s="2" t="s">
        <v>27</v>
      </c>
      <c r="D17" s="2" t="s">
        <v>28</v>
      </c>
      <c r="E17" s="11" t="s">
        <v>29</v>
      </c>
    </row>
    <row r="18" customFormat="false" ht="16.5" hidden="false" customHeight="true" outlineLevel="0" collapsed="false">
      <c r="C18" s="2" t="s">
        <v>30</v>
      </c>
      <c r="D18" s="2" t="s">
        <v>31</v>
      </c>
      <c r="E18" s="9"/>
    </row>
    <row r="19" customFormat="false" ht="16.5" hidden="false" customHeight="true" outlineLevel="0" collapsed="false">
      <c r="D19" s="2" t="s">
        <v>32</v>
      </c>
      <c r="E19" s="8" t="s">
        <v>33</v>
      </c>
    </row>
    <row r="20" customFormat="false" ht="16.5" hidden="false" customHeight="true" outlineLevel="0" collapsed="false">
      <c r="D20" s="2" t="s">
        <v>34</v>
      </c>
      <c r="E20" s="11"/>
    </row>
    <row r="21" customFormat="false" ht="16.5" hidden="false" customHeight="true" outlineLevel="0" collapsed="false">
      <c r="B21" s="2" t="s">
        <v>35</v>
      </c>
      <c r="C21" s="3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21" activeCellId="0" sqref="E21"/>
    </sheetView>
  </sheetViews>
  <sheetFormatPr defaultColWidth="9" defaultRowHeight="27.75" zeroHeight="false" outlineLevelRow="0" outlineLevelCol="0"/>
  <cols>
    <col collapsed="false" customWidth="true" hidden="false" outlineLevel="0" max="1" min="1" style="12" width="12"/>
    <col collapsed="false" customWidth="true" hidden="false" outlineLevel="0" max="2" min="2" style="12" width="28.25"/>
    <col collapsed="false" customWidth="true" hidden="false" outlineLevel="0" max="3" min="3" style="12" width="3.88"/>
    <col collapsed="false" customWidth="true" hidden="false" outlineLevel="0" max="4" min="4" style="12" width="6.88"/>
    <col collapsed="false" customWidth="true" hidden="false" outlineLevel="0" max="5" min="5" style="12" width="11"/>
    <col collapsed="false" customWidth="true" hidden="false" outlineLevel="0" max="6" min="6" style="12" width="3.75"/>
    <col collapsed="false" customWidth="true" hidden="false" outlineLevel="0" max="7" min="7" style="12" width="8.63"/>
    <col collapsed="false" customWidth="true" hidden="false" outlineLevel="0" max="8" min="8" style="12" width="11.63"/>
    <col collapsed="false" customWidth="true" hidden="false" outlineLevel="0" max="9" min="9" style="12" width="2"/>
    <col collapsed="false" customWidth="false" hidden="false" outlineLevel="0" max="256" min="10" style="12" width="9"/>
    <col collapsed="false" customWidth="true" hidden="false" outlineLevel="0" max="257" min="257" style="12" width="12"/>
    <col collapsed="false" customWidth="true" hidden="false" outlineLevel="0" max="258" min="258" style="12" width="34.13"/>
    <col collapsed="false" customWidth="true" hidden="false" outlineLevel="0" max="259" min="259" style="12" width="3.88"/>
    <col collapsed="false" customWidth="true" hidden="false" outlineLevel="0" max="260" min="260" style="12" width="6.88"/>
    <col collapsed="false" customWidth="true" hidden="false" outlineLevel="0" max="261" min="261" style="12" width="11"/>
    <col collapsed="false" customWidth="true" hidden="false" outlineLevel="0" max="262" min="262" style="12" width="3.75"/>
    <col collapsed="false" customWidth="true" hidden="false" outlineLevel="0" max="263" min="263" style="12" width="8.63"/>
    <col collapsed="false" customWidth="true" hidden="false" outlineLevel="0" max="264" min="264" style="12" width="11.63"/>
    <col collapsed="false" customWidth="true" hidden="false" outlineLevel="0" max="265" min="265" style="12" width="2"/>
    <col collapsed="false" customWidth="false" hidden="false" outlineLevel="0" max="512" min="266" style="12" width="9"/>
    <col collapsed="false" customWidth="true" hidden="false" outlineLevel="0" max="513" min="513" style="12" width="12"/>
    <col collapsed="false" customWidth="true" hidden="false" outlineLevel="0" max="514" min="514" style="12" width="34.13"/>
    <col collapsed="false" customWidth="true" hidden="false" outlineLevel="0" max="515" min="515" style="12" width="3.88"/>
    <col collapsed="false" customWidth="true" hidden="false" outlineLevel="0" max="516" min="516" style="12" width="6.88"/>
    <col collapsed="false" customWidth="true" hidden="false" outlineLevel="0" max="517" min="517" style="12" width="11"/>
    <col collapsed="false" customWidth="true" hidden="false" outlineLevel="0" max="518" min="518" style="12" width="3.75"/>
    <col collapsed="false" customWidth="true" hidden="false" outlineLevel="0" max="519" min="519" style="12" width="8.63"/>
    <col collapsed="false" customWidth="true" hidden="false" outlineLevel="0" max="520" min="520" style="12" width="11.63"/>
    <col collapsed="false" customWidth="true" hidden="false" outlineLevel="0" max="521" min="521" style="12" width="2"/>
    <col collapsed="false" customWidth="false" hidden="false" outlineLevel="0" max="768" min="522" style="12" width="9"/>
    <col collapsed="false" customWidth="true" hidden="false" outlineLevel="0" max="769" min="769" style="12" width="12"/>
    <col collapsed="false" customWidth="true" hidden="false" outlineLevel="0" max="770" min="770" style="12" width="34.13"/>
    <col collapsed="false" customWidth="true" hidden="false" outlineLevel="0" max="771" min="771" style="12" width="3.88"/>
    <col collapsed="false" customWidth="true" hidden="false" outlineLevel="0" max="772" min="772" style="12" width="6.88"/>
    <col collapsed="false" customWidth="true" hidden="false" outlineLevel="0" max="773" min="773" style="12" width="11"/>
    <col collapsed="false" customWidth="true" hidden="false" outlineLevel="0" max="774" min="774" style="12" width="3.75"/>
    <col collapsed="false" customWidth="true" hidden="false" outlineLevel="0" max="775" min="775" style="12" width="8.63"/>
    <col collapsed="false" customWidth="true" hidden="false" outlineLevel="0" max="776" min="776" style="12" width="11.63"/>
    <col collapsed="false" customWidth="true" hidden="false" outlineLevel="0" max="777" min="777" style="12" width="2"/>
    <col collapsed="false" customWidth="false" hidden="false" outlineLevel="0" max="1024" min="778" style="12" width="9"/>
    <col collapsed="false" customWidth="true" hidden="false" outlineLevel="0" max="1025" min="1025" style="12" width="12"/>
    <col collapsed="false" customWidth="true" hidden="false" outlineLevel="0" max="1026" min="1026" style="12" width="34.13"/>
    <col collapsed="false" customWidth="true" hidden="false" outlineLevel="0" max="1027" min="1027" style="12" width="3.88"/>
    <col collapsed="false" customWidth="true" hidden="false" outlineLevel="0" max="1028" min="1028" style="12" width="6.88"/>
    <col collapsed="false" customWidth="true" hidden="false" outlineLevel="0" max="1029" min="1029" style="12" width="11"/>
    <col collapsed="false" customWidth="true" hidden="false" outlineLevel="0" max="1030" min="1030" style="12" width="3.75"/>
    <col collapsed="false" customWidth="true" hidden="false" outlineLevel="0" max="1031" min="1031" style="12" width="8.63"/>
    <col collapsed="false" customWidth="true" hidden="false" outlineLevel="0" max="1032" min="1032" style="12" width="11.63"/>
    <col collapsed="false" customWidth="true" hidden="false" outlineLevel="0" max="1033" min="1033" style="12" width="2"/>
    <col collapsed="false" customWidth="false" hidden="false" outlineLevel="0" max="1280" min="1034" style="12" width="9"/>
    <col collapsed="false" customWidth="true" hidden="false" outlineLevel="0" max="1281" min="1281" style="12" width="12"/>
    <col collapsed="false" customWidth="true" hidden="false" outlineLevel="0" max="1282" min="1282" style="12" width="34.13"/>
    <col collapsed="false" customWidth="true" hidden="false" outlineLevel="0" max="1283" min="1283" style="12" width="3.88"/>
    <col collapsed="false" customWidth="true" hidden="false" outlineLevel="0" max="1284" min="1284" style="12" width="6.88"/>
    <col collapsed="false" customWidth="true" hidden="false" outlineLevel="0" max="1285" min="1285" style="12" width="11"/>
    <col collapsed="false" customWidth="true" hidden="false" outlineLevel="0" max="1286" min="1286" style="12" width="3.75"/>
    <col collapsed="false" customWidth="true" hidden="false" outlineLevel="0" max="1287" min="1287" style="12" width="8.63"/>
    <col collapsed="false" customWidth="true" hidden="false" outlineLevel="0" max="1288" min="1288" style="12" width="11.63"/>
    <col collapsed="false" customWidth="true" hidden="false" outlineLevel="0" max="1289" min="1289" style="12" width="2"/>
    <col collapsed="false" customWidth="false" hidden="false" outlineLevel="0" max="1536" min="1290" style="12" width="9"/>
    <col collapsed="false" customWidth="true" hidden="false" outlineLevel="0" max="1537" min="1537" style="12" width="12"/>
    <col collapsed="false" customWidth="true" hidden="false" outlineLevel="0" max="1538" min="1538" style="12" width="34.13"/>
    <col collapsed="false" customWidth="true" hidden="false" outlineLevel="0" max="1539" min="1539" style="12" width="3.88"/>
    <col collapsed="false" customWidth="true" hidden="false" outlineLevel="0" max="1540" min="1540" style="12" width="6.88"/>
    <col collapsed="false" customWidth="true" hidden="false" outlineLevel="0" max="1541" min="1541" style="12" width="11"/>
    <col collapsed="false" customWidth="true" hidden="false" outlineLevel="0" max="1542" min="1542" style="12" width="3.75"/>
    <col collapsed="false" customWidth="true" hidden="false" outlineLevel="0" max="1543" min="1543" style="12" width="8.63"/>
    <col collapsed="false" customWidth="true" hidden="false" outlineLevel="0" max="1544" min="1544" style="12" width="11.63"/>
    <col collapsed="false" customWidth="true" hidden="false" outlineLevel="0" max="1545" min="1545" style="12" width="2"/>
    <col collapsed="false" customWidth="false" hidden="false" outlineLevel="0" max="1792" min="1546" style="12" width="9"/>
    <col collapsed="false" customWidth="true" hidden="false" outlineLevel="0" max="1793" min="1793" style="12" width="12"/>
    <col collapsed="false" customWidth="true" hidden="false" outlineLevel="0" max="1794" min="1794" style="12" width="34.13"/>
    <col collapsed="false" customWidth="true" hidden="false" outlineLevel="0" max="1795" min="1795" style="12" width="3.88"/>
    <col collapsed="false" customWidth="true" hidden="false" outlineLevel="0" max="1796" min="1796" style="12" width="6.88"/>
    <col collapsed="false" customWidth="true" hidden="false" outlineLevel="0" max="1797" min="1797" style="12" width="11"/>
    <col collapsed="false" customWidth="true" hidden="false" outlineLevel="0" max="1798" min="1798" style="12" width="3.75"/>
    <col collapsed="false" customWidth="true" hidden="false" outlineLevel="0" max="1799" min="1799" style="12" width="8.63"/>
    <col collapsed="false" customWidth="true" hidden="false" outlineLevel="0" max="1800" min="1800" style="12" width="11.63"/>
    <col collapsed="false" customWidth="true" hidden="false" outlineLevel="0" max="1801" min="1801" style="12" width="2"/>
    <col collapsed="false" customWidth="false" hidden="false" outlineLevel="0" max="2048" min="1802" style="12" width="9"/>
    <col collapsed="false" customWidth="true" hidden="false" outlineLevel="0" max="2049" min="2049" style="12" width="12"/>
    <col collapsed="false" customWidth="true" hidden="false" outlineLevel="0" max="2050" min="2050" style="12" width="34.13"/>
    <col collapsed="false" customWidth="true" hidden="false" outlineLevel="0" max="2051" min="2051" style="12" width="3.88"/>
    <col collapsed="false" customWidth="true" hidden="false" outlineLevel="0" max="2052" min="2052" style="12" width="6.88"/>
    <col collapsed="false" customWidth="true" hidden="false" outlineLevel="0" max="2053" min="2053" style="12" width="11"/>
    <col collapsed="false" customWidth="true" hidden="false" outlineLevel="0" max="2054" min="2054" style="12" width="3.75"/>
    <col collapsed="false" customWidth="true" hidden="false" outlineLevel="0" max="2055" min="2055" style="12" width="8.63"/>
    <col collapsed="false" customWidth="true" hidden="false" outlineLevel="0" max="2056" min="2056" style="12" width="11.63"/>
    <col collapsed="false" customWidth="true" hidden="false" outlineLevel="0" max="2057" min="2057" style="12" width="2"/>
    <col collapsed="false" customWidth="false" hidden="false" outlineLevel="0" max="2304" min="2058" style="12" width="9"/>
    <col collapsed="false" customWidth="true" hidden="false" outlineLevel="0" max="2305" min="2305" style="12" width="12"/>
    <col collapsed="false" customWidth="true" hidden="false" outlineLevel="0" max="2306" min="2306" style="12" width="34.13"/>
    <col collapsed="false" customWidth="true" hidden="false" outlineLevel="0" max="2307" min="2307" style="12" width="3.88"/>
    <col collapsed="false" customWidth="true" hidden="false" outlineLevel="0" max="2308" min="2308" style="12" width="6.88"/>
    <col collapsed="false" customWidth="true" hidden="false" outlineLevel="0" max="2309" min="2309" style="12" width="11"/>
    <col collapsed="false" customWidth="true" hidden="false" outlineLevel="0" max="2310" min="2310" style="12" width="3.75"/>
    <col collapsed="false" customWidth="true" hidden="false" outlineLevel="0" max="2311" min="2311" style="12" width="8.63"/>
    <col collapsed="false" customWidth="true" hidden="false" outlineLevel="0" max="2312" min="2312" style="12" width="11.63"/>
    <col collapsed="false" customWidth="true" hidden="false" outlineLevel="0" max="2313" min="2313" style="12" width="2"/>
    <col collapsed="false" customWidth="false" hidden="false" outlineLevel="0" max="2560" min="2314" style="12" width="9"/>
    <col collapsed="false" customWidth="true" hidden="false" outlineLevel="0" max="2561" min="2561" style="12" width="12"/>
    <col collapsed="false" customWidth="true" hidden="false" outlineLevel="0" max="2562" min="2562" style="12" width="34.13"/>
    <col collapsed="false" customWidth="true" hidden="false" outlineLevel="0" max="2563" min="2563" style="12" width="3.88"/>
    <col collapsed="false" customWidth="true" hidden="false" outlineLevel="0" max="2564" min="2564" style="12" width="6.88"/>
    <col collapsed="false" customWidth="true" hidden="false" outlineLevel="0" max="2565" min="2565" style="12" width="11"/>
    <col collapsed="false" customWidth="true" hidden="false" outlineLevel="0" max="2566" min="2566" style="12" width="3.75"/>
    <col collapsed="false" customWidth="true" hidden="false" outlineLevel="0" max="2567" min="2567" style="12" width="8.63"/>
    <col collapsed="false" customWidth="true" hidden="false" outlineLevel="0" max="2568" min="2568" style="12" width="11.63"/>
    <col collapsed="false" customWidth="true" hidden="false" outlineLevel="0" max="2569" min="2569" style="12" width="2"/>
    <col collapsed="false" customWidth="false" hidden="false" outlineLevel="0" max="2816" min="2570" style="12" width="9"/>
    <col collapsed="false" customWidth="true" hidden="false" outlineLevel="0" max="2817" min="2817" style="12" width="12"/>
    <col collapsed="false" customWidth="true" hidden="false" outlineLevel="0" max="2818" min="2818" style="12" width="34.13"/>
    <col collapsed="false" customWidth="true" hidden="false" outlineLevel="0" max="2819" min="2819" style="12" width="3.88"/>
    <col collapsed="false" customWidth="true" hidden="false" outlineLevel="0" max="2820" min="2820" style="12" width="6.88"/>
    <col collapsed="false" customWidth="true" hidden="false" outlineLevel="0" max="2821" min="2821" style="12" width="11"/>
    <col collapsed="false" customWidth="true" hidden="false" outlineLevel="0" max="2822" min="2822" style="12" width="3.75"/>
    <col collapsed="false" customWidth="true" hidden="false" outlineLevel="0" max="2823" min="2823" style="12" width="8.63"/>
    <col collapsed="false" customWidth="true" hidden="false" outlineLevel="0" max="2824" min="2824" style="12" width="11.63"/>
    <col collapsed="false" customWidth="true" hidden="false" outlineLevel="0" max="2825" min="2825" style="12" width="2"/>
    <col collapsed="false" customWidth="false" hidden="false" outlineLevel="0" max="3072" min="2826" style="12" width="9"/>
    <col collapsed="false" customWidth="true" hidden="false" outlineLevel="0" max="3073" min="3073" style="12" width="12"/>
    <col collapsed="false" customWidth="true" hidden="false" outlineLevel="0" max="3074" min="3074" style="12" width="34.13"/>
    <col collapsed="false" customWidth="true" hidden="false" outlineLevel="0" max="3075" min="3075" style="12" width="3.88"/>
    <col collapsed="false" customWidth="true" hidden="false" outlineLevel="0" max="3076" min="3076" style="12" width="6.88"/>
    <col collapsed="false" customWidth="true" hidden="false" outlineLevel="0" max="3077" min="3077" style="12" width="11"/>
    <col collapsed="false" customWidth="true" hidden="false" outlineLevel="0" max="3078" min="3078" style="12" width="3.75"/>
    <col collapsed="false" customWidth="true" hidden="false" outlineLevel="0" max="3079" min="3079" style="12" width="8.63"/>
    <col collapsed="false" customWidth="true" hidden="false" outlineLevel="0" max="3080" min="3080" style="12" width="11.63"/>
    <col collapsed="false" customWidth="true" hidden="false" outlineLevel="0" max="3081" min="3081" style="12" width="2"/>
    <col collapsed="false" customWidth="false" hidden="false" outlineLevel="0" max="3328" min="3082" style="12" width="9"/>
    <col collapsed="false" customWidth="true" hidden="false" outlineLevel="0" max="3329" min="3329" style="12" width="12"/>
    <col collapsed="false" customWidth="true" hidden="false" outlineLevel="0" max="3330" min="3330" style="12" width="34.13"/>
    <col collapsed="false" customWidth="true" hidden="false" outlineLevel="0" max="3331" min="3331" style="12" width="3.88"/>
    <col collapsed="false" customWidth="true" hidden="false" outlineLevel="0" max="3332" min="3332" style="12" width="6.88"/>
    <col collapsed="false" customWidth="true" hidden="false" outlineLevel="0" max="3333" min="3333" style="12" width="11"/>
    <col collapsed="false" customWidth="true" hidden="false" outlineLevel="0" max="3334" min="3334" style="12" width="3.75"/>
    <col collapsed="false" customWidth="true" hidden="false" outlineLevel="0" max="3335" min="3335" style="12" width="8.63"/>
    <col collapsed="false" customWidth="true" hidden="false" outlineLevel="0" max="3336" min="3336" style="12" width="11.63"/>
    <col collapsed="false" customWidth="true" hidden="false" outlineLevel="0" max="3337" min="3337" style="12" width="2"/>
    <col collapsed="false" customWidth="false" hidden="false" outlineLevel="0" max="3584" min="3338" style="12" width="9"/>
    <col collapsed="false" customWidth="true" hidden="false" outlineLevel="0" max="3585" min="3585" style="12" width="12"/>
    <col collapsed="false" customWidth="true" hidden="false" outlineLevel="0" max="3586" min="3586" style="12" width="34.13"/>
    <col collapsed="false" customWidth="true" hidden="false" outlineLevel="0" max="3587" min="3587" style="12" width="3.88"/>
    <col collapsed="false" customWidth="true" hidden="false" outlineLevel="0" max="3588" min="3588" style="12" width="6.88"/>
    <col collapsed="false" customWidth="true" hidden="false" outlineLevel="0" max="3589" min="3589" style="12" width="11"/>
    <col collapsed="false" customWidth="true" hidden="false" outlineLevel="0" max="3590" min="3590" style="12" width="3.75"/>
    <col collapsed="false" customWidth="true" hidden="false" outlineLevel="0" max="3591" min="3591" style="12" width="8.63"/>
    <col collapsed="false" customWidth="true" hidden="false" outlineLevel="0" max="3592" min="3592" style="12" width="11.63"/>
    <col collapsed="false" customWidth="true" hidden="false" outlineLevel="0" max="3593" min="3593" style="12" width="2"/>
    <col collapsed="false" customWidth="false" hidden="false" outlineLevel="0" max="3840" min="3594" style="12" width="9"/>
    <col collapsed="false" customWidth="true" hidden="false" outlineLevel="0" max="3841" min="3841" style="12" width="12"/>
    <col collapsed="false" customWidth="true" hidden="false" outlineLevel="0" max="3842" min="3842" style="12" width="34.13"/>
    <col collapsed="false" customWidth="true" hidden="false" outlineLevel="0" max="3843" min="3843" style="12" width="3.88"/>
    <col collapsed="false" customWidth="true" hidden="false" outlineLevel="0" max="3844" min="3844" style="12" width="6.88"/>
    <col collapsed="false" customWidth="true" hidden="false" outlineLevel="0" max="3845" min="3845" style="12" width="11"/>
    <col collapsed="false" customWidth="true" hidden="false" outlineLevel="0" max="3846" min="3846" style="12" width="3.75"/>
    <col collapsed="false" customWidth="true" hidden="false" outlineLevel="0" max="3847" min="3847" style="12" width="8.63"/>
    <col collapsed="false" customWidth="true" hidden="false" outlineLevel="0" max="3848" min="3848" style="12" width="11.63"/>
    <col collapsed="false" customWidth="true" hidden="false" outlineLevel="0" max="3849" min="3849" style="12" width="2"/>
    <col collapsed="false" customWidth="false" hidden="false" outlineLevel="0" max="4096" min="3850" style="12" width="9"/>
    <col collapsed="false" customWidth="true" hidden="false" outlineLevel="0" max="4097" min="4097" style="12" width="12"/>
    <col collapsed="false" customWidth="true" hidden="false" outlineLevel="0" max="4098" min="4098" style="12" width="34.13"/>
    <col collapsed="false" customWidth="true" hidden="false" outlineLevel="0" max="4099" min="4099" style="12" width="3.88"/>
    <col collapsed="false" customWidth="true" hidden="false" outlineLevel="0" max="4100" min="4100" style="12" width="6.88"/>
    <col collapsed="false" customWidth="true" hidden="false" outlineLevel="0" max="4101" min="4101" style="12" width="11"/>
    <col collapsed="false" customWidth="true" hidden="false" outlineLevel="0" max="4102" min="4102" style="12" width="3.75"/>
    <col collapsed="false" customWidth="true" hidden="false" outlineLevel="0" max="4103" min="4103" style="12" width="8.63"/>
    <col collapsed="false" customWidth="true" hidden="false" outlineLevel="0" max="4104" min="4104" style="12" width="11.63"/>
    <col collapsed="false" customWidth="true" hidden="false" outlineLevel="0" max="4105" min="4105" style="12" width="2"/>
    <col collapsed="false" customWidth="false" hidden="false" outlineLevel="0" max="4352" min="4106" style="12" width="9"/>
    <col collapsed="false" customWidth="true" hidden="false" outlineLevel="0" max="4353" min="4353" style="12" width="12"/>
    <col collapsed="false" customWidth="true" hidden="false" outlineLevel="0" max="4354" min="4354" style="12" width="34.13"/>
    <col collapsed="false" customWidth="true" hidden="false" outlineLevel="0" max="4355" min="4355" style="12" width="3.88"/>
    <col collapsed="false" customWidth="true" hidden="false" outlineLevel="0" max="4356" min="4356" style="12" width="6.88"/>
    <col collapsed="false" customWidth="true" hidden="false" outlineLevel="0" max="4357" min="4357" style="12" width="11"/>
    <col collapsed="false" customWidth="true" hidden="false" outlineLevel="0" max="4358" min="4358" style="12" width="3.75"/>
    <col collapsed="false" customWidth="true" hidden="false" outlineLevel="0" max="4359" min="4359" style="12" width="8.63"/>
    <col collapsed="false" customWidth="true" hidden="false" outlineLevel="0" max="4360" min="4360" style="12" width="11.63"/>
    <col collapsed="false" customWidth="true" hidden="false" outlineLevel="0" max="4361" min="4361" style="12" width="2"/>
    <col collapsed="false" customWidth="false" hidden="false" outlineLevel="0" max="4608" min="4362" style="12" width="9"/>
    <col collapsed="false" customWidth="true" hidden="false" outlineLevel="0" max="4609" min="4609" style="12" width="12"/>
    <col collapsed="false" customWidth="true" hidden="false" outlineLevel="0" max="4610" min="4610" style="12" width="34.13"/>
    <col collapsed="false" customWidth="true" hidden="false" outlineLevel="0" max="4611" min="4611" style="12" width="3.88"/>
    <col collapsed="false" customWidth="true" hidden="false" outlineLevel="0" max="4612" min="4612" style="12" width="6.88"/>
    <col collapsed="false" customWidth="true" hidden="false" outlineLevel="0" max="4613" min="4613" style="12" width="11"/>
    <col collapsed="false" customWidth="true" hidden="false" outlineLevel="0" max="4614" min="4614" style="12" width="3.75"/>
    <col collapsed="false" customWidth="true" hidden="false" outlineLevel="0" max="4615" min="4615" style="12" width="8.63"/>
    <col collapsed="false" customWidth="true" hidden="false" outlineLevel="0" max="4616" min="4616" style="12" width="11.63"/>
    <col collapsed="false" customWidth="true" hidden="false" outlineLevel="0" max="4617" min="4617" style="12" width="2"/>
    <col collapsed="false" customWidth="false" hidden="false" outlineLevel="0" max="4864" min="4618" style="12" width="9"/>
    <col collapsed="false" customWidth="true" hidden="false" outlineLevel="0" max="4865" min="4865" style="12" width="12"/>
    <col collapsed="false" customWidth="true" hidden="false" outlineLevel="0" max="4866" min="4866" style="12" width="34.13"/>
    <col collapsed="false" customWidth="true" hidden="false" outlineLevel="0" max="4867" min="4867" style="12" width="3.88"/>
    <col collapsed="false" customWidth="true" hidden="false" outlineLevel="0" max="4868" min="4868" style="12" width="6.88"/>
    <col collapsed="false" customWidth="true" hidden="false" outlineLevel="0" max="4869" min="4869" style="12" width="11"/>
    <col collapsed="false" customWidth="true" hidden="false" outlineLevel="0" max="4870" min="4870" style="12" width="3.75"/>
    <col collapsed="false" customWidth="true" hidden="false" outlineLevel="0" max="4871" min="4871" style="12" width="8.63"/>
    <col collapsed="false" customWidth="true" hidden="false" outlineLevel="0" max="4872" min="4872" style="12" width="11.63"/>
    <col collapsed="false" customWidth="true" hidden="false" outlineLevel="0" max="4873" min="4873" style="12" width="2"/>
    <col collapsed="false" customWidth="false" hidden="false" outlineLevel="0" max="5120" min="4874" style="12" width="9"/>
    <col collapsed="false" customWidth="true" hidden="false" outlineLevel="0" max="5121" min="5121" style="12" width="12"/>
    <col collapsed="false" customWidth="true" hidden="false" outlineLevel="0" max="5122" min="5122" style="12" width="34.13"/>
    <col collapsed="false" customWidth="true" hidden="false" outlineLevel="0" max="5123" min="5123" style="12" width="3.88"/>
    <col collapsed="false" customWidth="true" hidden="false" outlineLevel="0" max="5124" min="5124" style="12" width="6.88"/>
    <col collapsed="false" customWidth="true" hidden="false" outlineLevel="0" max="5125" min="5125" style="12" width="11"/>
    <col collapsed="false" customWidth="true" hidden="false" outlineLevel="0" max="5126" min="5126" style="12" width="3.75"/>
    <col collapsed="false" customWidth="true" hidden="false" outlineLevel="0" max="5127" min="5127" style="12" width="8.63"/>
    <col collapsed="false" customWidth="true" hidden="false" outlineLevel="0" max="5128" min="5128" style="12" width="11.63"/>
    <col collapsed="false" customWidth="true" hidden="false" outlineLevel="0" max="5129" min="5129" style="12" width="2"/>
    <col collapsed="false" customWidth="false" hidden="false" outlineLevel="0" max="5376" min="5130" style="12" width="9"/>
    <col collapsed="false" customWidth="true" hidden="false" outlineLevel="0" max="5377" min="5377" style="12" width="12"/>
    <col collapsed="false" customWidth="true" hidden="false" outlineLevel="0" max="5378" min="5378" style="12" width="34.13"/>
    <col collapsed="false" customWidth="true" hidden="false" outlineLevel="0" max="5379" min="5379" style="12" width="3.88"/>
    <col collapsed="false" customWidth="true" hidden="false" outlineLevel="0" max="5380" min="5380" style="12" width="6.88"/>
    <col collapsed="false" customWidth="true" hidden="false" outlineLevel="0" max="5381" min="5381" style="12" width="11"/>
    <col collapsed="false" customWidth="true" hidden="false" outlineLevel="0" max="5382" min="5382" style="12" width="3.75"/>
    <col collapsed="false" customWidth="true" hidden="false" outlineLevel="0" max="5383" min="5383" style="12" width="8.63"/>
    <col collapsed="false" customWidth="true" hidden="false" outlineLevel="0" max="5384" min="5384" style="12" width="11.63"/>
    <col collapsed="false" customWidth="true" hidden="false" outlineLevel="0" max="5385" min="5385" style="12" width="2"/>
    <col collapsed="false" customWidth="false" hidden="false" outlineLevel="0" max="5632" min="5386" style="12" width="9"/>
    <col collapsed="false" customWidth="true" hidden="false" outlineLevel="0" max="5633" min="5633" style="12" width="12"/>
    <col collapsed="false" customWidth="true" hidden="false" outlineLevel="0" max="5634" min="5634" style="12" width="34.13"/>
    <col collapsed="false" customWidth="true" hidden="false" outlineLevel="0" max="5635" min="5635" style="12" width="3.88"/>
    <col collapsed="false" customWidth="true" hidden="false" outlineLevel="0" max="5636" min="5636" style="12" width="6.88"/>
    <col collapsed="false" customWidth="true" hidden="false" outlineLevel="0" max="5637" min="5637" style="12" width="11"/>
    <col collapsed="false" customWidth="true" hidden="false" outlineLevel="0" max="5638" min="5638" style="12" width="3.75"/>
    <col collapsed="false" customWidth="true" hidden="false" outlineLevel="0" max="5639" min="5639" style="12" width="8.63"/>
    <col collapsed="false" customWidth="true" hidden="false" outlineLevel="0" max="5640" min="5640" style="12" width="11.63"/>
    <col collapsed="false" customWidth="true" hidden="false" outlineLevel="0" max="5641" min="5641" style="12" width="2"/>
    <col collapsed="false" customWidth="false" hidden="false" outlineLevel="0" max="5888" min="5642" style="12" width="9"/>
    <col collapsed="false" customWidth="true" hidden="false" outlineLevel="0" max="5889" min="5889" style="12" width="12"/>
    <col collapsed="false" customWidth="true" hidden="false" outlineLevel="0" max="5890" min="5890" style="12" width="34.13"/>
    <col collapsed="false" customWidth="true" hidden="false" outlineLevel="0" max="5891" min="5891" style="12" width="3.88"/>
    <col collapsed="false" customWidth="true" hidden="false" outlineLevel="0" max="5892" min="5892" style="12" width="6.88"/>
    <col collapsed="false" customWidth="true" hidden="false" outlineLevel="0" max="5893" min="5893" style="12" width="11"/>
    <col collapsed="false" customWidth="true" hidden="false" outlineLevel="0" max="5894" min="5894" style="12" width="3.75"/>
    <col collapsed="false" customWidth="true" hidden="false" outlineLevel="0" max="5895" min="5895" style="12" width="8.63"/>
    <col collapsed="false" customWidth="true" hidden="false" outlineLevel="0" max="5896" min="5896" style="12" width="11.63"/>
    <col collapsed="false" customWidth="true" hidden="false" outlineLevel="0" max="5897" min="5897" style="12" width="2"/>
    <col collapsed="false" customWidth="false" hidden="false" outlineLevel="0" max="6144" min="5898" style="12" width="9"/>
    <col collapsed="false" customWidth="true" hidden="false" outlineLevel="0" max="6145" min="6145" style="12" width="12"/>
    <col collapsed="false" customWidth="true" hidden="false" outlineLevel="0" max="6146" min="6146" style="12" width="34.13"/>
    <col collapsed="false" customWidth="true" hidden="false" outlineLevel="0" max="6147" min="6147" style="12" width="3.88"/>
    <col collapsed="false" customWidth="true" hidden="false" outlineLevel="0" max="6148" min="6148" style="12" width="6.88"/>
    <col collapsed="false" customWidth="true" hidden="false" outlineLevel="0" max="6149" min="6149" style="12" width="11"/>
    <col collapsed="false" customWidth="true" hidden="false" outlineLevel="0" max="6150" min="6150" style="12" width="3.75"/>
    <col collapsed="false" customWidth="true" hidden="false" outlineLevel="0" max="6151" min="6151" style="12" width="8.63"/>
    <col collapsed="false" customWidth="true" hidden="false" outlineLevel="0" max="6152" min="6152" style="12" width="11.63"/>
    <col collapsed="false" customWidth="true" hidden="false" outlineLevel="0" max="6153" min="6153" style="12" width="2"/>
    <col collapsed="false" customWidth="false" hidden="false" outlineLevel="0" max="6400" min="6154" style="12" width="9"/>
    <col collapsed="false" customWidth="true" hidden="false" outlineLevel="0" max="6401" min="6401" style="12" width="12"/>
    <col collapsed="false" customWidth="true" hidden="false" outlineLevel="0" max="6402" min="6402" style="12" width="34.13"/>
    <col collapsed="false" customWidth="true" hidden="false" outlineLevel="0" max="6403" min="6403" style="12" width="3.88"/>
    <col collapsed="false" customWidth="true" hidden="false" outlineLevel="0" max="6404" min="6404" style="12" width="6.88"/>
    <col collapsed="false" customWidth="true" hidden="false" outlineLevel="0" max="6405" min="6405" style="12" width="11"/>
    <col collapsed="false" customWidth="true" hidden="false" outlineLevel="0" max="6406" min="6406" style="12" width="3.75"/>
    <col collapsed="false" customWidth="true" hidden="false" outlineLevel="0" max="6407" min="6407" style="12" width="8.63"/>
    <col collapsed="false" customWidth="true" hidden="false" outlineLevel="0" max="6408" min="6408" style="12" width="11.63"/>
    <col collapsed="false" customWidth="true" hidden="false" outlineLevel="0" max="6409" min="6409" style="12" width="2"/>
    <col collapsed="false" customWidth="false" hidden="false" outlineLevel="0" max="6656" min="6410" style="12" width="9"/>
    <col collapsed="false" customWidth="true" hidden="false" outlineLevel="0" max="6657" min="6657" style="12" width="12"/>
    <col collapsed="false" customWidth="true" hidden="false" outlineLevel="0" max="6658" min="6658" style="12" width="34.13"/>
    <col collapsed="false" customWidth="true" hidden="false" outlineLevel="0" max="6659" min="6659" style="12" width="3.88"/>
    <col collapsed="false" customWidth="true" hidden="false" outlineLevel="0" max="6660" min="6660" style="12" width="6.88"/>
    <col collapsed="false" customWidth="true" hidden="false" outlineLevel="0" max="6661" min="6661" style="12" width="11"/>
    <col collapsed="false" customWidth="true" hidden="false" outlineLevel="0" max="6662" min="6662" style="12" width="3.75"/>
    <col collapsed="false" customWidth="true" hidden="false" outlineLevel="0" max="6663" min="6663" style="12" width="8.63"/>
    <col collapsed="false" customWidth="true" hidden="false" outlineLevel="0" max="6664" min="6664" style="12" width="11.63"/>
    <col collapsed="false" customWidth="true" hidden="false" outlineLevel="0" max="6665" min="6665" style="12" width="2"/>
    <col collapsed="false" customWidth="false" hidden="false" outlineLevel="0" max="6912" min="6666" style="12" width="9"/>
    <col collapsed="false" customWidth="true" hidden="false" outlineLevel="0" max="6913" min="6913" style="12" width="12"/>
    <col collapsed="false" customWidth="true" hidden="false" outlineLevel="0" max="6914" min="6914" style="12" width="34.13"/>
    <col collapsed="false" customWidth="true" hidden="false" outlineLevel="0" max="6915" min="6915" style="12" width="3.88"/>
    <col collapsed="false" customWidth="true" hidden="false" outlineLevel="0" max="6916" min="6916" style="12" width="6.88"/>
    <col collapsed="false" customWidth="true" hidden="false" outlineLevel="0" max="6917" min="6917" style="12" width="11"/>
    <col collapsed="false" customWidth="true" hidden="false" outlineLevel="0" max="6918" min="6918" style="12" width="3.75"/>
    <col collapsed="false" customWidth="true" hidden="false" outlineLevel="0" max="6919" min="6919" style="12" width="8.63"/>
    <col collapsed="false" customWidth="true" hidden="false" outlineLevel="0" max="6920" min="6920" style="12" width="11.63"/>
    <col collapsed="false" customWidth="true" hidden="false" outlineLevel="0" max="6921" min="6921" style="12" width="2"/>
    <col collapsed="false" customWidth="false" hidden="false" outlineLevel="0" max="7168" min="6922" style="12" width="9"/>
    <col collapsed="false" customWidth="true" hidden="false" outlineLevel="0" max="7169" min="7169" style="12" width="12"/>
    <col collapsed="false" customWidth="true" hidden="false" outlineLevel="0" max="7170" min="7170" style="12" width="34.13"/>
    <col collapsed="false" customWidth="true" hidden="false" outlineLevel="0" max="7171" min="7171" style="12" width="3.88"/>
    <col collapsed="false" customWidth="true" hidden="false" outlineLevel="0" max="7172" min="7172" style="12" width="6.88"/>
    <col collapsed="false" customWidth="true" hidden="false" outlineLevel="0" max="7173" min="7173" style="12" width="11"/>
    <col collapsed="false" customWidth="true" hidden="false" outlineLevel="0" max="7174" min="7174" style="12" width="3.75"/>
    <col collapsed="false" customWidth="true" hidden="false" outlineLevel="0" max="7175" min="7175" style="12" width="8.63"/>
    <col collapsed="false" customWidth="true" hidden="false" outlineLevel="0" max="7176" min="7176" style="12" width="11.63"/>
    <col collapsed="false" customWidth="true" hidden="false" outlineLevel="0" max="7177" min="7177" style="12" width="2"/>
    <col collapsed="false" customWidth="false" hidden="false" outlineLevel="0" max="7424" min="7178" style="12" width="9"/>
    <col collapsed="false" customWidth="true" hidden="false" outlineLevel="0" max="7425" min="7425" style="12" width="12"/>
    <col collapsed="false" customWidth="true" hidden="false" outlineLevel="0" max="7426" min="7426" style="12" width="34.13"/>
    <col collapsed="false" customWidth="true" hidden="false" outlineLevel="0" max="7427" min="7427" style="12" width="3.88"/>
    <col collapsed="false" customWidth="true" hidden="false" outlineLevel="0" max="7428" min="7428" style="12" width="6.88"/>
    <col collapsed="false" customWidth="true" hidden="false" outlineLevel="0" max="7429" min="7429" style="12" width="11"/>
    <col collapsed="false" customWidth="true" hidden="false" outlineLevel="0" max="7430" min="7430" style="12" width="3.75"/>
    <col collapsed="false" customWidth="true" hidden="false" outlineLevel="0" max="7431" min="7431" style="12" width="8.63"/>
    <col collapsed="false" customWidth="true" hidden="false" outlineLevel="0" max="7432" min="7432" style="12" width="11.63"/>
    <col collapsed="false" customWidth="true" hidden="false" outlineLevel="0" max="7433" min="7433" style="12" width="2"/>
    <col collapsed="false" customWidth="false" hidden="false" outlineLevel="0" max="7680" min="7434" style="12" width="9"/>
    <col collapsed="false" customWidth="true" hidden="false" outlineLevel="0" max="7681" min="7681" style="12" width="12"/>
    <col collapsed="false" customWidth="true" hidden="false" outlineLevel="0" max="7682" min="7682" style="12" width="34.13"/>
    <col collapsed="false" customWidth="true" hidden="false" outlineLevel="0" max="7683" min="7683" style="12" width="3.88"/>
    <col collapsed="false" customWidth="true" hidden="false" outlineLevel="0" max="7684" min="7684" style="12" width="6.88"/>
    <col collapsed="false" customWidth="true" hidden="false" outlineLevel="0" max="7685" min="7685" style="12" width="11"/>
    <col collapsed="false" customWidth="true" hidden="false" outlineLevel="0" max="7686" min="7686" style="12" width="3.75"/>
    <col collapsed="false" customWidth="true" hidden="false" outlineLevel="0" max="7687" min="7687" style="12" width="8.63"/>
    <col collapsed="false" customWidth="true" hidden="false" outlineLevel="0" max="7688" min="7688" style="12" width="11.63"/>
    <col collapsed="false" customWidth="true" hidden="false" outlineLevel="0" max="7689" min="7689" style="12" width="2"/>
    <col collapsed="false" customWidth="false" hidden="false" outlineLevel="0" max="7936" min="7690" style="12" width="9"/>
    <col collapsed="false" customWidth="true" hidden="false" outlineLevel="0" max="7937" min="7937" style="12" width="12"/>
    <col collapsed="false" customWidth="true" hidden="false" outlineLevel="0" max="7938" min="7938" style="12" width="34.13"/>
    <col collapsed="false" customWidth="true" hidden="false" outlineLevel="0" max="7939" min="7939" style="12" width="3.88"/>
    <col collapsed="false" customWidth="true" hidden="false" outlineLevel="0" max="7940" min="7940" style="12" width="6.88"/>
    <col collapsed="false" customWidth="true" hidden="false" outlineLevel="0" max="7941" min="7941" style="12" width="11"/>
    <col collapsed="false" customWidth="true" hidden="false" outlineLevel="0" max="7942" min="7942" style="12" width="3.75"/>
    <col collapsed="false" customWidth="true" hidden="false" outlineLevel="0" max="7943" min="7943" style="12" width="8.63"/>
    <col collapsed="false" customWidth="true" hidden="false" outlineLevel="0" max="7944" min="7944" style="12" width="11.63"/>
    <col collapsed="false" customWidth="true" hidden="false" outlineLevel="0" max="7945" min="7945" style="12" width="2"/>
    <col collapsed="false" customWidth="false" hidden="false" outlineLevel="0" max="8192" min="7946" style="12" width="9"/>
    <col collapsed="false" customWidth="true" hidden="false" outlineLevel="0" max="8193" min="8193" style="12" width="12"/>
    <col collapsed="false" customWidth="true" hidden="false" outlineLevel="0" max="8194" min="8194" style="12" width="34.13"/>
    <col collapsed="false" customWidth="true" hidden="false" outlineLevel="0" max="8195" min="8195" style="12" width="3.88"/>
    <col collapsed="false" customWidth="true" hidden="false" outlineLevel="0" max="8196" min="8196" style="12" width="6.88"/>
    <col collapsed="false" customWidth="true" hidden="false" outlineLevel="0" max="8197" min="8197" style="12" width="11"/>
    <col collapsed="false" customWidth="true" hidden="false" outlineLevel="0" max="8198" min="8198" style="12" width="3.75"/>
    <col collapsed="false" customWidth="true" hidden="false" outlineLevel="0" max="8199" min="8199" style="12" width="8.63"/>
    <col collapsed="false" customWidth="true" hidden="false" outlineLevel="0" max="8200" min="8200" style="12" width="11.63"/>
    <col collapsed="false" customWidth="true" hidden="false" outlineLevel="0" max="8201" min="8201" style="12" width="2"/>
    <col collapsed="false" customWidth="false" hidden="false" outlineLevel="0" max="8448" min="8202" style="12" width="9"/>
    <col collapsed="false" customWidth="true" hidden="false" outlineLevel="0" max="8449" min="8449" style="12" width="12"/>
    <col collapsed="false" customWidth="true" hidden="false" outlineLevel="0" max="8450" min="8450" style="12" width="34.13"/>
    <col collapsed="false" customWidth="true" hidden="false" outlineLevel="0" max="8451" min="8451" style="12" width="3.88"/>
    <col collapsed="false" customWidth="true" hidden="false" outlineLevel="0" max="8452" min="8452" style="12" width="6.88"/>
    <col collapsed="false" customWidth="true" hidden="false" outlineLevel="0" max="8453" min="8453" style="12" width="11"/>
    <col collapsed="false" customWidth="true" hidden="false" outlineLevel="0" max="8454" min="8454" style="12" width="3.75"/>
    <col collapsed="false" customWidth="true" hidden="false" outlineLevel="0" max="8455" min="8455" style="12" width="8.63"/>
    <col collapsed="false" customWidth="true" hidden="false" outlineLevel="0" max="8456" min="8456" style="12" width="11.63"/>
    <col collapsed="false" customWidth="true" hidden="false" outlineLevel="0" max="8457" min="8457" style="12" width="2"/>
    <col collapsed="false" customWidth="false" hidden="false" outlineLevel="0" max="8704" min="8458" style="12" width="9"/>
    <col collapsed="false" customWidth="true" hidden="false" outlineLevel="0" max="8705" min="8705" style="12" width="12"/>
    <col collapsed="false" customWidth="true" hidden="false" outlineLevel="0" max="8706" min="8706" style="12" width="34.13"/>
    <col collapsed="false" customWidth="true" hidden="false" outlineLevel="0" max="8707" min="8707" style="12" width="3.88"/>
    <col collapsed="false" customWidth="true" hidden="false" outlineLevel="0" max="8708" min="8708" style="12" width="6.88"/>
    <col collapsed="false" customWidth="true" hidden="false" outlineLevel="0" max="8709" min="8709" style="12" width="11"/>
    <col collapsed="false" customWidth="true" hidden="false" outlineLevel="0" max="8710" min="8710" style="12" width="3.75"/>
    <col collapsed="false" customWidth="true" hidden="false" outlineLevel="0" max="8711" min="8711" style="12" width="8.63"/>
    <col collapsed="false" customWidth="true" hidden="false" outlineLevel="0" max="8712" min="8712" style="12" width="11.63"/>
    <col collapsed="false" customWidth="true" hidden="false" outlineLevel="0" max="8713" min="8713" style="12" width="2"/>
    <col collapsed="false" customWidth="false" hidden="false" outlineLevel="0" max="8960" min="8714" style="12" width="9"/>
    <col collapsed="false" customWidth="true" hidden="false" outlineLevel="0" max="8961" min="8961" style="12" width="12"/>
    <col collapsed="false" customWidth="true" hidden="false" outlineLevel="0" max="8962" min="8962" style="12" width="34.13"/>
    <col collapsed="false" customWidth="true" hidden="false" outlineLevel="0" max="8963" min="8963" style="12" width="3.88"/>
    <col collapsed="false" customWidth="true" hidden="false" outlineLevel="0" max="8964" min="8964" style="12" width="6.88"/>
    <col collapsed="false" customWidth="true" hidden="false" outlineLevel="0" max="8965" min="8965" style="12" width="11"/>
    <col collapsed="false" customWidth="true" hidden="false" outlineLevel="0" max="8966" min="8966" style="12" width="3.75"/>
    <col collapsed="false" customWidth="true" hidden="false" outlineLevel="0" max="8967" min="8967" style="12" width="8.63"/>
    <col collapsed="false" customWidth="true" hidden="false" outlineLevel="0" max="8968" min="8968" style="12" width="11.63"/>
    <col collapsed="false" customWidth="true" hidden="false" outlineLevel="0" max="8969" min="8969" style="12" width="2"/>
    <col collapsed="false" customWidth="false" hidden="false" outlineLevel="0" max="9216" min="8970" style="12" width="9"/>
    <col collapsed="false" customWidth="true" hidden="false" outlineLevel="0" max="9217" min="9217" style="12" width="12"/>
    <col collapsed="false" customWidth="true" hidden="false" outlineLevel="0" max="9218" min="9218" style="12" width="34.13"/>
    <col collapsed="false" customWidth="true" hidden="false" outlineLevel="0" max="9219" min="9219" style="12" width="3.88"/>
    <col collapsed="false" customWidth="true" hidden="false" outlineLevel="0" max="9220" min="9220" style="12" width="6.88"/>
    <col collapsed="false" customWidth="true" hidden="false" outlineLevel="0" max="9221" min="9221" style="12" width="11"/>
    <col collapsed="false" customWidth="true" hidden="false" outlineLevel="0" max="9222" min="9222" style="12" width="3.75"/>
    <col collapsed="false" customWidth="true" hidden="false" outlineLevel="0" max="9223" min="9223" style="12" width="8.63"/>
    <col collapsed="false" customWidth="true" hidden="false" outlineLevel="0" max="9224" min="9224" style="12" width="11.63"/>
    <col collapsed="false" customWidth="true" hidden="false" outlineLevel="0" max="9225" min="9225" style="12" width="2"/>
    <col collapsed="false" customWidth="false" hidden="false" outlineLevel="0" max="9472" min="9226" style="12" width="9"/>
    <col collapsed="false" customWidth="true" hidden="false" outlineLevel="0" max="9473" min="9473" style="12" width="12"/>
    <col collapsed="false" customWidth="true" hidden="false" outlineLevel="0" max="9474" min="9474" style="12" width="34.13"/>
    <col collapsed="false" customWidth="true" hidden="false" outlineLevel="0" max="9475" min="9475" style="12" width="3.88"/>
    <col collapsed="false" customWidth="true" hidden="false" outlineLevel="0" max="9476" min="9476" style="12" width="6.88"/>
    <col collapsed="false" customWidth="true" hidden="false" outlineLevel="0" max="9477" min="9477" style="12" width="11"/>
    <col collapsed="false" customWidth="true" hidden="false" outlineLevel="0" max="9478" min="9478" style="12" width="3.75"/>
    <col collapsed="false" customWidth="true" hidden="false" outlineLevel="0" max="9479" min="9479" style="12" width="8.63"/>
    <col collapsed="false" customWidth="true" hidden="false" outlineLevel="0" max="9480" min="9480" style="12" width="11.63"/>
    <col collapsed="false" customWidth="true" hidden="false" outlineLevel="0" max="9481" min="9481" style="12" width="2"/>
    <col collapsed="false" customWidth="false" hidden="false" outlineLevel="0" max="9728" min="9482" style="12" width="9"/>
    <col collapsed="false" customWidth="true" hidden="false" outlineLevel="0" max="9729" min="9729" style="12" width="12"/>
    <col collapsed="false" customWidth="true" hidden="false" outlineLevel="0" max="9730" min="9730" style="12" width="34.13"/>
    <col collapsed="false" customWidth="true" hidden="false" outlineLevel="0" max="9731" min="9731" style="12" width="3.88"/>
    <col collapsed="false" customWidth="true" hidden="false" outlineLevel="0" max="9732" min="9732" style="12" width="6.88"/>
    <col collapsed="false" customWidth="true" hidden="false" outlineLevel="0" max="9733" min="9733" style="12" width="11"/>
    <col collapsed="false" customWidth="true" hidden="false" outlineLevel="0" max="9734" min="9734" style="12" width="3.75"/>
    <col collapsed="false" customWidth="true" hidden="false" outlineLevel="0" max="9735" min="9735" style="12" width="8.63"/>
    <col collapsed="false" customWidth="true" hidden="false" outlineLevel="0" max="9736" min="9736" style="12" width="11.63"/>
    <col collapsed="false" customWidth="true" hidden="false" outlineLevel="0" max="9737" min="9737" style="12" width="2"/>
    <col collapsed="false" customWidth="false" hidden="false" outlineLevel="0" max="9984" min="9738" style="12" width="9"/>
    <col collapsed="false" customWidth="true" hidden="false" outlineLevel="0" max="9985" min="9985" style="12" width="12"/>
    <col collapsed="false" customWidth="true" hidden="false" outlineLevel="0" max="9986" min="9986" style="12" width="34.13"/>
    <col collapsed="false" customWidth="true" hidden="false" outlineLevel="0" max="9987" min="9987" style="12" width="3.88"/>
    <col collapsed="false" customWidth="true" hidden="false" outlineLevel="0" max="9988" min="9988" style="12" width="6.88"/>
    <col collapsed="false" customWidth="true" hidden="false" outlineLevel="0" max="9989" min="9989" style="12" width="11"/>
    <col collapsed="false" customWidth="true" hidden="false" outlineLevel="0" max="9990" min="9990" style="12" width="3.75"/>
    <col collapsed="false" customWidth="true" hidden="false" outlineLevel="0" max="9991" min="9991" style="12" width="8.63"/>
    <col collapsed="false" customWidth="true" hidden="false" outlineLevel="0" max="9992" min="9992" style="12" width="11.63"/>
    <col collapsed="false" customWidth="true" hidden="false" outlineLevel="0" max="9993" min="9993" style="12" width="2"/>
    <col collapsed="false" customWidth="false" hidden="false" outlineLevel="0" max="10240" min="9994" style="12" width="9"/>
    <col collapsed="false" customWidth="true" hidden="false" outlineLevel="0" max="10241" min="10241" style="12" width="12"/>
    <col collapsed="false" customWidth="true" hidden="false" outlineLevel="0" max="10242" min="10242" style="12" width="34.13"/>
    <col collapsed="false" customWidth="true" hidden="false" outlineLevel="0" max="10243" min="10243" style="12" width="3.88"/>
    <col collapsed="false" customWidth="true" hidden="false" outlineLevel="0" max="10244" min="10244" style="12" width="6.88"/>
    <col collapsed="false" customWidth="true" hidden="false" outlineLevel="0" max="10245" min="10245" style="12" width="11"/>
    <col collapsed="false" customWidth="true" hidden="false" outlineLevel="0" max="10246" min="10246" style="12" width="3.75"/>
    <col collapsed="false" customWidth="true" hidden="false" outlineLevel="0" max="10247" min="10247" style="12" width="8.63"/>
    <col collapsed="false" customWidth="true" hidden="false" outlineLevel="0" max="10248" min="10248" style="12" width="11.63"/>
    <col collapsed="false" customWidth="true" hidden="false" outlineLevel="0" max="10249" min="10249" style="12" width="2"/>
    <col collapsed="false" customWidth="false" hidden="false" outlineLevel="0" max="10496" min="10250" style="12" width="9"/>
    <col collapsed="false" customWidth="true" hidden="false" outlineLevel="0" max="10497" min="10497" style="12" width="12"/>
    <col collapsed="false" customWidth="true" hidden="false" outlineLevel="0" max="10498" min="10498" style="12" width="34.13"/>
    <col collapsed="false" customWidth="true" hidden="false" outlineLevel="0" max="10499" min="10499" style="12" width="3.88"/>
    <col collapsed="false" customWidth="true" hidden="false" outlineLevel="0" max="10500" min="10500" style="12" width="6.88"/>
    <col collapsed="false" customWidth="true" hidden="false" outlineLevel="0" max="10501" min="10501" style="12" width="11"/>
    <col collapsed="false" customWidth="true" hidden="false" outlineLevel="0" max="10502" min="10502" style="12" width="3.75"/>
    <col collapsed="false" customWidth="true" hidden="false" outlineLevel="0" max="10503" min="10503" style="12" width="8.63"/>
    <col collapsed="false" customWidth="true" hidden="false" outlineLevel="0" max="10504" min="10504" style="12" width="11.63"/>
    <col collapsed="false" customWidth="true" hidden="false" outlineLevel="0" max="10505" min="10505" style="12" width="2"/>
    <col collapsed="false" customWidth="false" hidden="false" outlineLevel="0" max="10752" min="10506" style="12" width="9"/>
    <col collapsed="false" customWidth="true" hidden="false" outlineLevel="0" max="10753" min="10753" style="12" width="12"/>
    <col collapsed="false" customWidth="true" hidden="false" outlineLevel="0" max="10754" min="10754" style="12" width="34.13"/>
    <col collapsed="false" customWidth="true" hidden="false" outlineLevel="0" max="10755" min="10755" style="12" width="3.88"/>
    <col collapsed="false" customWidth="true" hidden="false" outlineLevel="0" max="10756" min="10756" style="12" width="6.88"/>
    <col collapsed="false" customWidth="true" hidden="false" outlineLevel="0" max="10757" min="10757" style="12" width="11"/>
    <col collapsed="false" customWidth="true" hidden="false" outlineLevel="0" max="10758" min="10758" style="12" width="3.75"/>
    <col collapsed="false" customWidth="true" hidden="false" outlineLevel="0" max="10759" min="10759" style="12" width="8.63"/>
    <col collapsed="false" customWidth="true" hidden="false" outlineLevel="0" max="10760" min="10760" style="12" width="11.63"/>
    <col collapsed="false" customWidth="true" hidden="false" outlineLevel="0" max="10761" min="10761" style="12" width="2"/>
    <col collapsed="false" customWidth="false" hidden="false" outlineLevel="0" max="11008" min="10762" style="12" width="9"/>
    <col collapsed="false" customWidth="true" hidden="false" outlineLevel="0" max="11009" min="11009" style="12" width="12"/>
    <col collapsed="false" customWidth="true" hidden="false" outlineLevel="0" max="11010" min="11010" style="12" width="34.13"/>
    <col collapsed="false" customWidth="true" hidden="false" outlineLevel="0" max="11011" min="11011" style="12" width="3.88"/>
    <col collapsed="false" customWidth="true" hidden="false" outlineLevel="0" max="11012" min="11012" style="12" width="6.88"/>
    <col collapsed="false" customWidth="true" hidden="false" outlineLevel="0" max="11013" min="11013" style="12" width="11"/>
    <col collapsed="false" customWidth="true" hidden="false" outlineLevel="0" max="11014" min="11014" style="12" width="3.75"/>
    <col collapsed="false" customWidth="true" hidden="false" outlineLevel="0" max="11015" min="11015" style="12" width="8.63"/>
    <col collapsed="false" customWidth="true" hidden="false" outlineLevel="0" max="11016" min="11016" style="12" width="11.63"/>
    <col collapsed="false" customWidth="true" hidden="false" outlineLevel="0" max="11017" min="11017" style="12" width="2"/>
    <col collapsed="false" customWidth="false" hidden="false" outlineLevel="0" max="11264" min="11018" style="12" width="9"/>
    <col collapsed="false" customWidth="true" hidden="false" outlineLevel="0" max="11265" min="11265" style="12" width="12"/>
    <col collapsed="false" customWidth="true" hidden="false" outlineLevel="0" max="11266" min="11266" style="12" width="34.13"/>
    <col collapsed="false" customWidth="true" hidden="false" outlineLevel="0" max="11267" min="11267" style="12" width="3.88"/>
    <col collapsed="false" customWidth="true" hidden="false" outlineLevel="0" max="11268" min="11268" style="12" width="6.88"/>
    <col collapsed="false" customWidth="true" hidden="false" outlineLevel="0" max="11269" min="11269" style="12" width="11"/>
    <col collapsed="false" customWidth="true" hidden="false" outlineLevel="0" max="11270" min="11270" style="12" width="3.75"/>
    <col collapsed="false" customWidth="true" hidden="false" outlineLevel="0" max="11271" min="11271" style="12" width="8.63"/>
    <col collapsed="false" customWidth="true" hidden="false" outlineLevel="0" max="11272" min="11272" style="12" width="11.63"/>
    <col collapsed="false" customWidth="true" hidden="false" outlineLevel="0" max="11273" min="11273" style="12" width="2"/>
    <col collapsed="false" customWidth="false" hidden="false" outlineLevel="0" max="11520" min="11274" style="12" width="9"/>
    <col collapsed="false" customWidth="true" hidden="false" outlineLevel="0" max="11521" min="11521" style="12" width="12"/>
    <col collapsed="false" customWidth="true" hidden="false" outlineLevel="0" max="11522" min="11522" style="12" width="34.13"/>
    <col collapsed="false" customWidth="true" hidden="false" outlineLevel="0" max="11523" min="11523" style="12" width="3.88"/>
    <col collapsed="false" customWidth="true" hidden="false" outlineLevel="0" max="11524" min="11524" style="12" width="6.88"/>
    <col collapsed="false" customWidth="true" hidden="false" outlineLevel="0" max="11525" min="11525" style="12" width="11"/>
    <col collapsed="false" customWidth="true" hidden="false" outlineLevel="0" max="11526" min="11526" style="12" width="3.75"/>
    <col collapsed="false" customWidth="true" hidden="false" outlineLevel="0" max="11527" min="11527" style="12" width="8.63"/>
    <col collapsed="false" customWidth="true" hidden="false" outlineLevel="0" max="11528" min="11528" style="12" width="11.63"/>
    <col collapsed="false" customWidth="true" hidden="false" outlineLevel="0" max="11529" min="11529" style="12" width="2"/>
    <col collapsed="false" customWidth="false" hidden="false" outlineLevel="0" max="11776" min="11530" style="12" width="9"/>
    <col collapsed="false" customWidth="true" hidden="false" outlineLevel="0" max="11777" min="11777" style="12" width="12"/>
    <col collapsed="false" customWidth="true" hidden="false" outlineLevel="0" max="11778" min="11778" style="12" width="34.13"/>
    <col collapsed="false" customWidth="true" hidden="false" outlineLevel="0" max="11779" min="11779" style="12" width="3.88"/>
    <col collapsed="false" customWidth="true" hidden="false" outlineLevel="0" max="11780" min="11780" style="12" width="6.88"/>
    <col collapsed="false" customWidth="true" hidden="false" outlineLevel="0" max="11781" min="11781" style="12" width="11"/>
    <col collapsed="false" customWidth="true" hidden="false" outlineLevel="0" max="11782" min="11782" style="12" width="3.75"/>
    <col collapsed="false" customWidth="true" hidden="false" outlineLevel="0" max="11783" min="11783" style="12" width="8.63"/>
    <col collapsed="false" customWidth="true" hidden="false" outlineLevel="0" max="11784" min="11784" style="12" width="11.63"/>
    <col collapsed="false" customWidth="true" hidden="false" outlineLevel="0" max="11785" min="11785" style="12" width="2"/>
    <col collapsed="false" customWidth="false" hidden="false" outlineLevel="0" max="12032" min="11786" style="12" width="9"/>
    <col collapsed="false" customWidth="true" hidden="false" outlineLevel="0" max="12033" min="12033" style="12" width="12"/>
    <col collapsed="false" customWidth="true" hidden="false" outlineLevel="0" max="12034" min="12034" style="12" width="34.13"/>
    <col collapsed="false" customWidth="true" hidden="false" outlineLevel="0" max="12035" min="12035" style="12" width="3.88"/>
    <col collapsed="false" customWidth="true" hidden="false" outlineLevel="0" max="12036" min="12036" style="12" width="6.88"/>
    <col collapsed="false" customWidth="true" hidden="false" outlineLevel="0" max="12037" min="12037" style="12" width="11"/>
    <col collapsed="false" customWidth="true" hidden="false" outlineLevel="0" max="12038" min="12038" style="12" width="3.75"/>
    <col collapsed="false" customWidth="true" hidden="false" outlineLevel="0" max="12039" min="12039" style="12" width="8.63"/>
    <col collapsed="false" customWidth="true" hidden="false" outlineLevel="0" max="12040" min="12040" style="12" width="11.63"/>
    <col collapsed="false" customWidth="true" hidden="false" outlineLevel="0" max="12041" min="12041" style="12" width="2"/>
    <col collapsed="false" customWidth="false" hidden="false" outlineLevel="0" max="12288" min="12042" style="12" width="9"/>
    <col collapsed="false" customWidth="true" hidden="false" outlineLevel="0" max="12289" min="12289" style="12" width="12"/>
    <col collapsed="false" customWidth="true" hidden="false" outlineLevel="0" max="12290" min="12290" style="12" width="34.13"/>
    <col collapsed="false" customWidth="true" hidden="false" outlineLevel="0" max="12291" min="12291" style="12" width="3.88"/>
    <col collapsed="false" customWidth="true" hidden="false" outlineLevel="0" max="12292" min="12292" style="12" width="6.88"/>
    <col collapsed="false" customWidth="true" hidden="false" outlineLevel="0" max="12293" min="12293" style="12" width="11"/>
    <col collapsed="false" customWidth="true" hidden="false" outlineLevel="0" max="12294" min="12294" style="12" width="3.75"/>
    <col collapsed="false" customWidth="true" hidden="false" outlineLevel="0" max="12295" min="12295" style="12" width="8.63"/>
    <col collapsed="false" customWidth="true" hidden="false" outlineLevel="0" max="12296" min="12296" style="12" width="11.63"/>
    <col collapsed="false" customWidth="true" hidden="false" outlineLevel="0" max="12297" min="12297" style="12" width="2"/>
    <col collapsed="false" customWidth="false" hidden="false" outlineLevel="0" max="12544" min="12298" style="12" width="9"/>
    <col collapsed="false" customWidth="true" hidden="false" outlineLevel="0" max="12545" min="12545" style="12" width="12"/>
    <col collapsed="false" customWidth="true" hidden="false" outlineLevel="0" max="12546" min="12546" style="12" width="34.13"/>
    <col collapsed="false" customWidth="true" hidden="false" outlineLevel="0" max="12547" min="12547" style="12" width="3.88"/>
    <col collapsed="false" customWidth="true" hidden="false" outlineLevel="0" max="12548" min="12548" style="12" width="6.88"/>
    <col collapsed="false" customWidth="true" hidden="false" outlineLevel="0" max="12549" min="12549" style="12" width="11"/>
    <col collapsed="false" customWidth="true" hidden="false" outlineLevel="0" max="12550" min="12550" style="12" width="3.75"/>
    <col collapsed="false" customWidth="true" hidden="false" outlineLevel="0" max="12551" min="12551" style="12" width="8.63"/>
    <col collapsed="false" customWidth="true" hidden="false" outlineLevel="0" max="12552" min="12552" style="12" width="11.63"/>
    <col collapsed="false" customWidth="true" hidden="false" outlineLevel="0" max="12553" min="12553" style="12" width="2"/>
    <col collapsed="false" customWidth="false" hidden="false" outlineLevel="0" max="12800" min="12554" style="12" width="9"/>
    <col collapsed="false" customWidth="true" hidden="false" outlineLevel="0" max="12801" min="12801" style="12" width="12"/>
    <col collapsed="false" customWidth="true" hidden="false" outlineLevel="0" max="12802" min="12802" style="12" width="34.13"/>
    <col collapsed="false" customWidth="true" hidden="false" outlineLevel="0" max="12803" min="12803" style="12" width="3.88"/>
    <col collapsed="false" customWidth="true" hidden="false" outlineLevel="0" max="12804" min="12804" style="12" width="6.88"/>
    <col collapsed="false" customWidth="true" hidden="false" outlineLevel="0" max="12805" min="12805" style="12" width="11"/>
    <col collapsed="false" customWidth="true" hidden="false" outlineLevel="0" max="12806" min="12806" style="12" width="3.75"/>
    <col collapsed="false" customWidth="true" hidden="false" outlineLevel="0" max="12807" min="12807" style="12" width="8.63"/>
    <col collapsed="false" customWidth="true" hidden="false" outlineLevel="0" max="12808" min="12808" style="12" width="11.63"/>
    <col collapsed="false" customWidth="true" hidden="false" outlineLevel="0" max="12809" min="12809" style="12" width="2"/>
    <col collapsed="false" customWidth="false" hidden="false" outlineLevel="0" max="13056" min="12810" style="12" width="9"/>
    <col collapsed="false" customWidth="true" hidden="false" outlineLevel="0" max="13057" min="13057" style="12" width="12"/>
    <col collapsed="false" customWidth="true" hidden="false" outlineLevel="0" max="13058" min="13058" style="12" width="34.13"/>
    <col collapsed="false" customWidth="true" hidden="false" outlineLevel="0" max="13059" min="13059" style="12" width="3.88"/>
    <col collapsed="false" customWidth="true" hidden="false" outlineLevel="0" max="13060" min="13060" style="12" width="6.88"/>
    <col collapsed="false" customWidth="true" hidden="false" outlineLevel="0" max="13061" min="13061" style="12" width="11"/>
    <col collapsed="false" customWidth="true" hidden="false" outlineLevel="0" max="13062" min="13062" style="12" width="3.75"/>
    <col collapsed="false" customWidth="true" hidden="false" outlineLevel="0" max="13063" min="13063" style="12" width="8.63"/>
    <col collapsed="false" customWidth="true" hidden="false" outlineLevel="0" max="13064" min="13064" style="12" width="11.63"/>
    <col collapsed="false" customWidth="true" hidden="false" outlineLevel="0" max="13065" min="13065" style="12" width="2"/>
    <col collapsed="false" customWidth="false" hidden="false" outlineLevel="0" max="13312" min="13066" style="12" width="9"/>
    <col collapsed="false" customWidth="true" hidden="false" outlineLevel="0" max="13313" min="13313" style="12" width="12"/>
    <col collapsed="false" customWidth="true" hidden="false" outlineLevel="0" max="13314" min="13314" style="12" width="34.13"/>
    <col collapsed="false" customWidth="true" hidden="false" outlineLevel="0" max="13315" min="13315" style="12" width="3.88"/>
    <col collapsed="false" customWidth="true" hidden="false" outlineLevel="0" max="13316" min="13316" style="12" width="6.88"/>
    <col collapsed="false" customWidth="true" hidden="false" outlineLevel="0" max="13317" min="13317" style="12" width="11"/>
    <col collapsed="false" customWidth="true" hidden="false" outlineLevel="0" max="13318" min="13318" style="12" width="3.75"/>
    <col collapsed="false" customWidth="true" hidden="false" outlineLevel="0" max="13319" min="13319" style="12" width="8.63"/>
    <col collapsed="false" customWidth="true" hidden="false" outlineLevel="0" max="13320" min="13320" style="12" width="11.63"/>
    <col collapsed="false" customWidth="true" hidden="false" outlineLevel="0" max="13321" min="13321" style="12" width="2"/>
    <col collapsed="false" customWidth="false" hidden="false" outlineLevel="0" max="13568" min="13322" style="12" width="9"/>
    <col collapsed="false" customWidth="true" hidden="false" outlineLevel="0" max="13569" min="13569" style="12" width="12"/>
    <col collapsed="false" customWidth="true" hidden="false" outlineLevel="0" max="13570" min="13570" style="12" width="34.13"/>
    <col collapsed="false" customWidth="true" hidden="false" outlineLevel="0" max="13571" min="13571" style="12" width="3.88"/>
    <col collapsed="false" customWidth="true" hidden="false" outlineLevel="0" max="13572" min="13572" style="12" width="6.88"/>
    <col collapsed="false" customWidth="true" hidden="false" outlineLevel="0" max="13573" min="13573" style="12" width="11"/>
    <col collapsed="false" customWidth="true" hidden="false" outlineLevel="0" max="13574" min="13574" style="12" width="3.75"/>
    <col collapsed="false" customWidth="true" hidden="false" outlineLevel="0" max="13575" min="13575" style="12" width="8.63"/>
    <col collapsed="false" customWidth="true" hidden="false" outlineLevel="0" max="13576" min="13576" style="12" width="11.63"/>
    <col collapsed="false" customWidth="true" hidden="false" outlineLevel="0" max="13577" min="13577" style="12" width="2"/>
    <col collapsed="false" customWidth="false" hidden="false" outlineLevel="0" max="13824" min="13578" style="12" width="9"/>
    <col collapsed="false" customWidth="true" hidden="false" outlineLevel="0" max="13825" min="13825" style="12" width="12"/>
    <col collapsed="false" customWidth="true" hidden="false" outlineLevel="0" max="13826" min="13826" style="12" width="34.13"/>
    <col collapsed="false" customWidth="true" hidden="false" outlineLevel="0" max="13827" min="13827" style="12" width="3.88"/>
    <col collapsed="false" customWidth="true" hidden="false" outlineLevel="0" max="13828" min="13828" style="12" width="6.88"/>
    <col collapsed="false" customWidth="true" hidden="false" outlineLevel="0" max="13829" min="13829" style="12" width="11"/>
    <col collapsed="false" customWidth="true" hidden="false" outlineLevel="0" max="13830" min="13830" style="12" width="3.75"/>
    <col collapsed="false" customWidth="true" hidden="false" outlineLevel="0" max="13831" min="13831" style="12" width="8.63"/>
    <col collapsed="false" customWidth="true" hidden="false" outlineLevel="0" max="13832" min="13832" style="12" width="11.63"/>
    <col collapsed="false" customWidth="true" hidden="false" outlineLevel="0" max="13833" min="13833" style="12" width="2"/>
    <col collapsed="false" customWidth="false" hidden="false" outlineLevel="0" max="14080" min="13834" style="12" width="9"/>
    <col collapsed="false" customWidth="true" hidden="false" outlineLevel="0" max="14081" min="14081" style="12" width="12"/>
    <col collapsed="false" customWidth="true" hidden="false" outlineLevel="0" max="14082" min="14082" style="12" width="34.13"/>
    <col collapsed="false" customWidth="true" hidden="false" outlineLevel="0" max="14083" min="14083" style="12" width="3.88"/>
    <col collapsed="false" customWidth="true" hidden="false" outlineLevel="0" max="14084" min="14084" style="12" width="6.88"/>
    <col collapsed="false" customWidth="true" hidden="false" outlineLevel="0" max="14085" min="14085" style="12" width="11"/>
    <col collapsed="false" customWidth="true" hidden="false" outlineLevel="0" max="14086" min="14086" style="12" width="3.75"/>
    <col collapsed="false" customWidth="true" hidden="false" outlineLevel="0" max="14087" min="14087" style="12" width="8.63"/>
    <col collapsed="false" customWidth="true" hidden="false" outlineLevel="0" max="14088" min="14088" style="12" width="11.63"/>
    <col collapsed="false" customWidth="true" hidden="false" outlineLevel="0" max="14089" min="14089" style="12" width="2"/>
    <col collapsed="false" customWidth="false" hidden="false" outlineLevel="0" max="14336" min="14090" style="12" width="9"/>
    <col collapsed="false" customWidth="true" hidden="false" outlineLevel="0" max="14337" min="14337" style="12" width="12"/>
    <col collapsed="false" customWidth="true" hidden="false" outlineLevel="0" max="14338" min="14338" style="12" width="34.13"/>
    <col collapsed="false" customWidth="true" hidden="false" outlineLevel="0" max="14339" min="14339" style="12" width="3.88"/>
    <col collapsed="false" customWidth="true" hidden="false" outlineLevel="0" max="14340" min="14340" style="12" width="6.88"/>
    <col collapsed="false" customWidth="true" hidden="false" outlineLevel="0" max="14341" min="14341" style="12" width="11"/>
    <col collapsed="false" customWidth="true" hidden="false" outlineLevel="0" max="14342" min="14342" style="12" width="3.75"/>
    <col collapsed="false" customWidth="true" hidden="false" outlineLevel="0" max="14343" min="14343" style="12" width="8.63"/>
    <col collapsed="false" customWidth="true" hidden="false" outlineLevel="0" max="14344" min="14344" style="12" width="11.63"/>
    <col collapsed="false" customWidth="true" hidden="false" outlineLevel="0" max="14345" min="14345" style="12" width="2"/>
    <col collapsed="false" customWidth="false" hidden="false" outlineLevel="0" max="14592" min="14346" style="12" width="9"/>
    <col collapsed="false" customWidth="true" hidden="false" outlineLevel="0" max="14593" min="14593" style="12" width="12"/>
    <col collapsed="false" customWidth="true" hidden="false" outlineLevel="0" max="14594" min="14594" style="12" width="34.13"/>
    <col collapsed="false" customWidth="true" hidden="false" outlineLevel="0" max="14595" min="14595" style="12" width="3.88"/>
    <col collapsed="false" customWidth="true" hidden="false" outlineLevel="0" max="14596" min="14596" style="12" width="6.88"/>
    <col collapsed="false" customWidth="true" hidden="false" outlineLevel="0" max="14597" min="14597" style="12" width="11"/>
    <col collapsed="false" customWidth="true" hidden="false" outlineLevel="0" max="14598" min="14598" style="12" width="3.75"/>
    <col collapsed="false" customWidth="true" hidden="false" outlineLevel="0" max="14599" min="14599" style="12" width="8.63"/>
    <col collapsed="false" customWidth="true" hidden="false" outlineLevel="0" max="14600" min="14600" style="12" width="11.63"/>
    <col collapsed="false" customWidth="true" hidden="false" outlineLevel="0" max="14601" min="14601" style="12" width="2"/>
    <col collapsed="false" customWidth="false" hidden="false" outlineLevel="0" max="14848" min="14602" style="12" width="9"/>
    <col collapsed="false" customWidth="true" hidden="false" outlineLevel="0" max="14849" min="14849" style="12" width="12"/>
    <col collapsed="false" customWidth="true" hidden="false" outlineLevel="0" max="14850" min="14850" style="12" width="34.13"/>
    <col collapsed="false" customWidth="true" hidden="false" outlineLevel="0" max="14851" min="14851" style="12" width="3.88"/>
    <col collapsed="false" customWidth="true" hidden="false" outlineLevel="0" max="14852" min="14852" style="12" width="6.88"/>
    <col collapsed="false" customWidth="true" hidden="false" outlineLevel="0" max="14853" min="14853" style="12" width="11"/>
    <col collapsed="false" customWidth="true" hidden="false" outlineLevel="0" max="14854" min="14854" style="12" width="3.75"/>
    <col collapsed="false" customWidth="true" hidden="false" outlineLevel="0" max="14855" min="14855" style="12" width="8.63"/>
    <col collapsed="false" customWidth="true" hidden="false" outlineLevel="0" max="14856" min="14856" style="12" width="11.63"/>
    <col collapsed="false" customWidth="true" hidden="false" outlineLevel="0" max="14857" min="14857" style="12" width="2"/>
    <col collapsed="false" customWidth="false" hidden="false" outlineLevel="0" max="15104" min="14858" style="12" width="9"/>
    <col collapsed="false" customWidth="true" hidden="false" outlineLevel="0" max="15105" min="15105" style="12" width="12"/>
    <col collapsed="false" customWidth="true" hidden="false" outlineLevel="0" max="15106" min="15106" style="12" width="34.13"/>
    <col collapsed="false" customWidth="true" hidden="false" outlineLevel="0" max="15107" min="15107" style="12" width="3.88"/>
    <col collapsed="false" customWidth="true" hidden="false" outlineLevel="0" max="15108" min="15108" style="12" width="6.88"/>
    <col collapsed="false" customWidth="true" hidden="false" outlineLevel="0" max="15109" min="15109" style="12" width="11"/>
    <col collapsed="false" customWidth="true" hidden="false" outlineLevel="0" max="15110" min="15110" style="12" width="3.75"/>
    <col collapsed="false" customWidth="true" hidden="false" outlineLevel="0" max="15111" min="15111" style="12" width="8.63"/>
    <col collapsed="false" customWidth="true" hidden="false" outlineLevel="0" max="15112" min="15112" style="12" width="11.63"/>
    <col collapsed="false" customWidth="true" hidden="false" outlineLevel="0" max="15113" min="15113" style="12" width="2"/>
    <col collapsed="false" customWidth="false" hidden="false" outlineLevel="0" max="15360" min="15114" style="12" width="9"/>
    <col collapsed="false" customWidth="true" hidden="false" outlineLevel="0" max="15361" min="15361" style="12" width="12"/>
    <col collapsed="false" customWidth="true" hidden="false" outlineLevel="0" max="15362" min="15362" style="12" width="34.13"/>
    <col collapsed="false" customWidth="true" hidden="false" outlineLevel="0" max="15363" min="15363" style="12" width="3.88"/>
    <col collapsed="false" customWidth="true" hidden="false" outlineLevel="0" max="15364" min="15364" style="12" width="6.88"/>
    <col collapsed="false" customWidth="true" hidden="false" outlineLevel="0" max="15365" min="15365" style="12" width="11"/>
    <col collapsed="false" customWidth="true" hidden="false" outlineLevel="0" max="15366" min="15366" style="12" width="3.75"/>
    <col collapsed="false" customWidth="true" hidden="false" outlineLevel="0" max="15367" min="15367" style="12" width="8.63"/>
    <col collapsed="false" customWidth="true" hidden="false" outlineLevel="0" max="15368" min="15368" style="12" width="11.63"/>
    <col collapsed="false" customWidth="true" hidden="false" outlineLevel="0" max="15369" min="15369" style="12" width="2"/>
    <col collapsed="false" customWidth="false" hidden="false" outlineLevel="0" max="15616" min="15370" style="12" width="9"/>
    <col collapsed="false" customWidth="true" hidden="false" outlineLevel="0" max="15617" min="15617" style="12" width="12"/>
    <col collapsed="false" customWidth="true" hidden="false" outlineLevel="0" max="15618" min="15618" style="12" width="34.13"/>
    <col collapsed="false" customWidth="true" hidden="false" outlineLevel="0" max="15619" min="15619" style="12" width="3.88"/>
    <col collapsed="false" customWidth="true" hidden="false" outlineLevel="0" max="15620" min="15620" style="12" width="6.88"/>
    <col collapsed="false" customWidth="true" hidden="false" outlineLevel="0" max="15621" min="15621" style="12" width="11"/>
    <col collapsed="false" customWidth="true" hidden="false" outlineLevel="0" max="15622" min="15622" style="12" width="3.75"/>
    <col collapsed="false" customWidth="true" hidden="false" outlineLevel="0" max="15623" min="15623" style="12" width="8.63"/>
    <col collapsed="false" customWidth="true" hidden="false" outlineLevel="0" max="15624" min="15624" style="12" width="11.63"/>
    <col collapsed="false" customWidth="true" hidden="false" outlineLevel="0" max="15625" min="15625" style="12" width="2"/>
    <col collapsed="false" customWidth="false" hidden="false" outlineLevel="0" max="15872" min="15626" style="12" width="9"/>
    <col collapsed="false" customWidth="true" hidden="false" outlineLevel="0" max="15873" min="15873" style="12" width="12"/>
    <col collapsed="false" customWidth="true" hidden="false" outlineLevel="0" max="15874" min="15874" style="12" width="34.13"/>
    <col collapsed="false" customWidth="true" hidden="false" outlineLevel="0" max="15875" min="15875" style="12" width="3.88"/>
    <col collapsed="false" customWidth="true" hidden="false" outlineLevel="0" max="15876" min="15876" style="12" width="6.88"/>
    <col collapsed="false" customWidth="true" hidden="false" outlineLevel="0" max="15877" min="15877" style="12" width="11"/>
    <col collapsed="false" customWidth="true" hidden="false" outlineLevel="0" max="15878" min="15878" style="12" width="3.75"/>
    <col collapsed="false" customWidth="true" hidden="false" outlineLevel="0" max="15879" min="15879" style="12" width="8.63"/>
    <col collapsed="false" customWidth="true" hidden="false" outlineLevel="0" max="15880" min="15880" style="12" width="11.63"/>
    <col collapsed="false" customWidth="true" hidden="false" outlineLevel="0" max="15881" min="15881" style="12" width="2"/>
    <col collapsed="false" customWidth="false" hidden="false" outlineLevel="0" max="16128" min="15882" style="12" width="9"/>
    <col collapsed="false" customWidth="true" hidden="false" outlineLevel="0" max="16129" min="16129" style="12" width="12"/>
    <col collapsed="false" customWidth="true" hidden="false" outlineLevel="0" max="16130" min="16130" style="12" width="34.13"/>
    <col collapsed="false" customWidth="true" hidden="false" outlineLevel="0" max="16131" min="16131" style="12" width="3.88"/>
    <col collapsed="false" customWidth="true" hidden="false" outlineLevel="0" max="16132" min="16132" style="12" width="6.88"/>
    <col collapsed="false" customWidth="true" hidden="false" outlineLevel="0" max="16133" min="16133" style="12" width="11"/>
    <col collapsed="false" customWidth="true" hidden="false" outlineLevel="0" max="16134" min="16134" style="12" width="3.75"/>
    <col collapsed="false" customWidth="true" hidden="false" outlineLevel="0" max="16135" min="16135" style="12" width="8.63"/>
    <col collapsed="false" customWidth="true" hidden="false" outlineLevel="0" max="16136" min="16136" style="12" width="11.63"/>
    <col collapsed="false" customWidth="true" hidden="false" outlineLevel="0" max="16137" min="16137" style="12" width="2"/>
    <col collapsed="false" customWidth="false" hidden="false" outlineLevel="0" max="16384" min="16138" style="12" width="9"/>
  </cols>
  <sheetData>
    <row r="1" customFormat="false" ht="54.75" hidden="false" customHeight="true" outlineLevel="0" collapsed="false">
      <c r="A1" s="13" t="str">
        <f aca="false">공사정보_출력X!C6</f>
        <v>주식회사 가상건설</v>
      </c>
      <c r="B1" s="13"/>
      <c r="C1" s="13"/>
      <c r="D1" s="13"/>
      <c r="E1" s="13"/>
      <c r="F1" s="13"/>
      <c r="G1" s="13"/>
      <c r="H1" s="13"/>
    </row>
    <row r="2" customFormat="false" ht="8.25" hidden="false" customHeight="true" outlineLevel="0" collapsed="false">
      <c r="A2" s="14"/>
      <c r="B2" s="14"/>
      <c r="C2" s="14"/>
      <c r="D2" s="14"/>
      <c r="E2" s="14"/>
      <c r="F2" s="14"/>
      <c r="G2" s="14"/>
      <c r="H2" s="14"/>
    </row>
    <row r="3" customFormat="false" ht="24.75" hidden="false" customHeight="true" outlineLevel="0" collapsed="false">
      <c r="A3" s="15" t="s">
        <v>37</v>
      </c>
      <c r="B3" s="15"/>
      <c r="C3" s="16" t="s">
        <v>38</v>
      </c>
      <c r="D3" s="17"/>
      <c r="E3" s="17"/>
      <c r="F3" s="18" t="s">
        <v>39</v>
      </c>
      <c r="G3" s="19"/>
      <c r="H3" s="19"/>
    </row>
    <row r="4" customFormat="false" ht="24.75" hidden="false" customHeight="true" outlineLevel="0" collapsed="false">
      <c r="A4" s="15" t="str">
        <f aca="false">"수      신 : "&amp;공사정보_출력X!C8</f>
        <v>수      신 : OO부대</v>
      </c>
      <c r="B4" s="15"/>
      <c r="C4" s="20" t="s">
        <v>40</v>
      </c>
      <c r="D4" s="21" t="s">
        <v>41</v>
      </c>
      <c r="E4" s="22"/>
      <c r="F4" s="23" t="s">
        <v>42</v>
      </c>
      <c r="G4" s="22"/>
      <c r="H4" s="24"/>
    </row>
    <row r="5" customFormat="false" ht="24.75" hidden="false" customHeight="true" outlineLevel="0" collapsed="false">
      <c r="A5" s="15"/>
      <c r="B5" s="15"/>
      <c r="C5" s="20"/>
      <c r="D5" s="25" t="s">
        <v>43</v>
      </c>
      <c r="E5" s="22"/>
      <c r="F5" s="23"/>
      <c r="G5" s="22"/>
      <c r="H5" s="24"/>
    </row>
    <row r="6" customFormat="false" ht="24.75" hidden="false" customHeight="true" outlineLevel="0" collapsed="false">
      <c r="A6" s="26" t="s">
        <v>44</v>
      </c>
      <c r="B6" s="27"/>
      <c r="C6" s="28" t="s">
        <v>45</v>
      </c>
      <c r="D6" s="28"/>
      <c r="E6" s="22"/>
      <c r="F6" s="23"/>
      <c r="G6" s="22"/>
      <c r="H6" s="24"/>
    </row>
    <row r="7" customFormat="false" ht="24.75" hidden="false" customHeight="true" outlineLevel="0" collapsed="false">
      <c r="A7" s="26"/>
      <c r="B7" s="27"/>
      <c r="C7" s="29" t="s">
        <v>46</v>
      </c>
      <c r="D7" s="29"/>
      <c r="E7" s="30"/>
      <c r="F7" s="23"/>
      <c r="G7" s="30"/>
      <c r="H7" s="31"/>
    </row>
    <row r="8" customFormat="false" ht="30" hidden="false" customHeight="true" outlineLevel="0" collapsed="false">
      <c r="A8" s="32" t="str">
        <f aca="false">"제      목 : "&amp;공사정보_출력X!C2&amp;" 착공계 제출의 건 "</f>
        <v>제      목 : (예시) OO부대 시설물 보수공사 착공계 제출의 건 </v>
      </c>
      <c r="B8" s="32"/>
      <c r="C8" s="32"/>
      <c r="D8" s="32"/>
      <c r="E8" s="32"/>
      <c r="F8" s="32"/>
      <c r="G8" s="32"/>
      <c r="H8" s="32"/>
    </row>
    <row r="9" customFormat="false" ht="15" hidden="false" customHeight="true" outlineLevel="0" collapsed="false">
      <c r="A9" s="33"/>
      <c r="B9" s="33"/>
      <c r="C9" s="33"/>
      <c r="D9" s="33"/>
      <c r="E9" s="33"/>
      <c r="F9" s="33"/>
      <c r="G9" s="33"/>
      <c r="H9" s="33"/>
    </row>
    <row r="10" customFormat="false" ht="27.75" hidden="false" customHeight="true" outlineLevel="0" collapsed="false">
      <c r="A10" s="34"/>
      <c r="B10" s="34" t="str">
        <f aca="false">"1. 귀 "&amp;공사정보_출력X!C8&amp;"의 무궁한 발전을 기원합니다."</f>
        <v>1. 귀 OO부대의 무궁한 발전을 기원합니다.</v>
      </c>
      <c r="C10" s="34"/>
      <c r="D10" s="34"/>
      <c r="E10" s="34"/>
      <c r="F10" s="34"/>
      <c r="G10" s="34"/>
      <c r="H10" s="34"/>
    </row>
    <row r="11" customFormat="false" ht="8.2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</row>
    <row r="12" customFormat="false" ht="22.5" hidden="false" customHeight="true" outlineLevel="0" collapsed="false">
      <c r="A12" s="34"/>
      <c r="B12" s="34" t="str">
        <f aca="false">"2. 관련근거 : 계약번호 "&amp;공사정보_출력X!C21&amp;" ("&amp;TEXT(공사정보_출력X!C10,"yyyy. m. d")&amp;")"</f>
        <v>2. 관련근거 : 계약번호 2026-OO-001 (2026. 1. 7)</v>
      </c>
      <c r="C12" s="34"/>
      <c r="D12" s="34"/>
      <c r="E12" s="34"/>
      <c r="F12" s="34"/>
      <c r="G12" s="35"/>
      <c r="H12" s="34"/>
    </row>
    <row r="13" customFormat="false" ht="8.25" hidden="false" customHeight="true" outlineLevel="0" collapsed="false">
      <c r="A13" s="34"/>
      <c r="B13" s="34"/>
      <c r="C13" s="34"/>
      <c r="D13" s="34"/>
      <c r="E13" s="34"/>
      <c r="F13" s="34"/>
      <c r="G13" s="34"/>
      <c r="H13" s="34"/>
    </row>
    <row r="14" customFormat="false" ht="22.5" hidden="false" customHeight="true" outlineLevel="0" collapsed="false">
      <c r="A14" s="34"/>
      <c r="B14" s="34" t="s">
        <v>47</v>
      </c>
      <c r="C14" s="34"/>
      <c r="D14" s="34"/>
      <c r="E14" s="34"/>
      <c r="F14" s="34"/>
      <c r="G14" s="35"/>
      <c r="H14" s="34"/>
    </row>
    <row r="15" customFormat="false" ht="8.25" hidden="false" customHeight="true" outlineLevel="0" collapsed="false"/>
    <row r="16" customFormat="false" ht="22.5" hidden="false" customHeight="true" outlineLevel="0" collapsed="false">
      <c r="B16" s="34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customFormat="false" ht="8.25" hidden="false" customHeight="true" outlineLevel="0" collapsed="false"/>
    <row r="18" customFormat="false" ht="27.75" hidden="false" customHeight="true" outlineLevel="0" collapsed="false">
      <c r="B18" s="36"/>
      <c r="C18" s="36"/>
      <c r="D18" s="36"/>
      <c r="E18" s="36"/>
      <c r="F18" s="36"/>
      <c r="G18" s="36"/>
      <c r="H18" s="36"/>
      <c r="I18" s="36"/>
      <c r="J18" s="36"/>
      <c r="K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customFormat="false" ht="8.25" hidden="false" customHeight="true" outlineLevel="0" collapsed="false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customFormat="false" ht="27.75" hidden="false" customHeight="true" outlineLevel="0" collapsed="false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</row>
    <row r="21" customFormat="false" ht="7.5" hidden="false" customHeight="true" outlineLevel="0" collapsed="false">
      <c r="G21" s="38"/>
    </row>
    <row r="22" customFormat="false" ht="25.5" hidden="false" customHeight="true" outlineLevel="0" collapsed="false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</row>
    <row r="23" customFormat="false" ht="25.5" hidden="false" customHeight="true" outlineLevel="0" collapsed="false"/>
    <row r="24" customFormat="false" ht="30" hidden="false" customHeight="true" outlineLevel="0" collapsed="false">
      <c r="A24" s="39" t="s">
        <v>48</v>
      </c>
    </row>
    <row r="25" customFormat="false" ht="25.5" hidden="false" customHeight="true" outlineLevel="0" collapsed="false">
      <c r="A25" s="39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</row>
    <row r="26" customFormat="false" ht="25.5" hidden="false" customHeight="true" outlineLevel="0" collapsed="false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customFormat="false" ht="25.5" hidden="false" customHeight="true" outlineLevel="0" collapsed="false"/>
    <row r="28" customFormat="false" ht="39" hidden="false" customHeight="true" outlineLevel="0" collapsed="false">
      <c r="A28" s="41" t="str">
        <f aca="false">공사정보_출력X!C6&amp;"    대표이사  "&amp;공사정보_출력X!C7</f>
        <v>주식회사 가상건설    대표이사  홍길동</v>
      </c>
      <c r="B28" s="41"/>
      <c r="C28" s="41"/>
      <c r="D28" s="41"/>
      <c r="E28" s="41"/>
      <c r="F28" s="41"/>
      <c r="G28" s="41"/>
      <c r="H28" s="41"/>
    </row>
  </sheetData>
  <mergeCells count="14">
    <mergeCell ref="A1:H1"/>
    <mergeCell ref="A2:H2"/>
    <mergeCell ref="A3:B3"/>
    <mergeCell ref="G3:H3"/>
    <mergeCell ref="A4:B4"/>
    <mergeCell ref="C4:C5"/>
    <mergeCell ref="F4:F7"/>
    <mergeCell ref="A5:B5"/>
    <mergeCell ref="B6:B7"/>
    <mergeCell ref="C6:D6"/>
    <mergeCell ref="C7:D7"/>
    <mergeCell ref="A8:H8"/>
    <mergeCell ref="B26:AB26"/>
    <mergeCell ref="A28:H28"/>
  </mergeCells>
  <printOptions headings="false" gridLines="false" gridLinesSet="true" horizontalCentered="true" verticalCentered="false"/>
  <pageMargins left="0.354166666666667" right="0.354166666666667" top="0.905555555555556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AA37"/>
  <sheetViews>
    <sheetView showFormulas="false" showGridLines="false" showRowColHeaders="true" showZeros="true" rightToLeft="false" tabSelected="false" showOutlineSymbols="true" defaultGridColor="true" view="pageBreakPreview" topLeftCell="A10" colorId="64" zoomScale="100" zoomScaleNormal="100" zoomScalePageLayoutView="100" workbookViewId="0">
      <selection pane="topLeft" activeCell="AF29" activeCellId="0" sqref="AF29"/>
    </sheetView>
  </sheetViews>
  <sheetFormatPr defaultColWidth="8.75" defaultRowHeight="16.5" zeroHeight="false" outlineLevelRow="0" outlineLevelCol="0"/>
  <cols>
    <col collapsed="false" customWidth="true" hidden="false" outlineLevel="0" max="27" min="1" style="42" width="3.13"/>
    <col collapsed="false" customWidth="false" hidden="false" outlineLevel="0" max="16384" min="28" style="42" width="8.75"/>
  </cols>
  <sheetData>
    <row r="6" customFormat="false" ht="54" hidden="false" customHeight="true" outlineLevel="0" collapsed="false">
      <c r="A6" s="43" t="s">
        <v>49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11" customFormat="false" ht="52.5" hidden="false" customHeight="true" outlineLevel="0" collapsed="false">
      <c r="A11" s="44" t="str">
        <f aca="false">공사정보_출력X!C2</f>
        <v>(예시) OO부대 시설물 보수공사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22" customFormat="false" ht="31.5" hidden="false" customHeight="true" outlineLevel="0" collapsed="false">
      <c r="A22" s="45" t="n">
        <f aca="false">공사정보_출력X!C5</f>
        <v>46035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30" customFormat="false" ht="31.5" hidden="false" customHeight="true" outlineLevel="0" collapsed="false">
      <c r="A30" s="46" t="str">
        <f aca="false">공사정보_출력X!C6</f>
        <v>주식회사 가상건설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7" customFormat="false" ht="26.25" hidden="false" customHeight="true" outlineLevel="0" collapsed="false">
      <c r="A37" s="47" t="str">
        <f aca="false">공사정보_출력X!C8</f>
        <v>OO부대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</sheetData>
  <mergeCells count="5">
    <mergeCell ref="A6:AA6"/>
    <mergeCell ref="A11:AA11"/>
    <mergeCell ref="A22:AA22"/>
    <mergeCell ref="A30:AA30"/>
    <mergeCell ref="A37:AA37"/>
  </mergeCells>
  <printOptions headings="false" gridLines="false" gridLinesSet="true" horizontalCentered="true" verticalCentered="false"/>
  <pageMargins left="0.511805555555556" right="0.511805555555556" top="0.747916666666667" bottom="0.551388888888889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5:H2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L14" activeCellId="0" sqref="L14"/>
    </sheetView>
  </sheetViews>
  <sheetFormatPr defaultColWidth="8.75" defaultRowHeight="16.5" zeroHeight="false" outlineLevelRow="0" outlineLevelCol="0"/>
  <cols>
    <col collapsed="false" customWidth="true" hidden="false" outlineLevel="0" max="3" min="1" style="42" width="3.13"/>
    <col collapsed="false" customWidth="true" hidden="false" outlineLevel="0" max="4" min="4" style="42" width="60.63"/>
    <col collapsed="false" customWidth="true" hidden="false" outlineLevel="0" max="8" min="5" style="42" width="3.13"/>
    <col collapsed="false" customWidth="false" hidden="false" outlineLevel="0" max="16384" min="9" style="42" width="8.75"/>
  </cols>
  <sheetData>
    <row r="5" customFormat="false" ht="31.5" hidden="false" customHeight="true" outlineLevel="0" collapsed="false">
      <c r="A5" s="48" t="s">
        <v>50</v>
      </c>
      <c r="B5" s="48"/>
      <c r="C5" s="48"/>
      <c r="D5" s="48"/>
      <c r="E5" s="48"/>
      <c r="F5" s="48"/>
      <c r="G5" s="48"/>
      <c r="H5" s="48"/>
    </row>
    <row r="9" customFormat="false" ht="30" hidden="false" customHeight="true" outlineLevel="0" collapsed="false">
      <c r="D9" s="49" t="s">
        <v>51</v>
      </c>
    </row>
    <row r="10" customFormat="false" ht="30" hidden="false" customHeight="true" outlineLevel="0" collapsed="false">
      <c r="D10" s="49" t="s">
        <v>52</v>
      </c>
    </row>
    <row r="11" customFormat="false" ht="30" hidden="false" customHeight="true" outlineLevel="0" collapsed="false">
      <c r="D11" s="49" t="s">
        <v>53</v>
      </c>
    </row>
    <row r="12" customFormat="false" ht="30" hidden="false" customHeight="true" outlineLevel="0" collapsed="false">
      <c r="D12" s="49" t="s">
        <v>54</v>
      </c>
    </row>
    <row r="13" customFormat="false" ht="30" hidden="false" customHeight="true" outlineLevel="0" collapsed="false">
      <c r="D13" s="49" t="s">
        <v>55</v>
      </c>
    </row>
    <row r="14" customFormat="false" ht="30" hidden="false" customHeight="true" outlineLevel="0" collapsed="false">
      <c r="D14" s="49" t="s">
        <v>56</v>
      </c>
    </row>
    <row r="15" customFormat="false" ht="30" hidden="false" customHeight="true" outlineLevel="0" collapsed="false">
      <c r="D15" s="49" t="s">
        <v>57</v>
      </c>
    </row>
    <row r="16" customFormat="false" ht="30" hidden="false" customHeight="true" outlineLevel="0" collapsed="false">
      <c r="D16" s="49" t="s">
        <v>58</v>
      </c>
    </row>
    <row r="17" customFormat="false" ht="30" hidden="false" customHeight="true" outlineLevel="0" collapsed="false">
      <c r="D17" s="49" t="s">
        <v>59</v>
      </c>
    </row>
    <row r="18" customFormat="false" ht="30" hidden="false" customHeight="true" outlineLevel="0" collapsed="false">
      <c r="D18" s="49"/>
    </row>
    <row r="19" customFormat="false" ht="30" hidden="true" customHeight="true" outlineLevel="0" collapsed="false">
      <c r="D19" s="49" t="s">
        <v>60</v>
      </c>
    </row>
    <row r="20" customFormat="false" ht="30" hidden="true" customHeight="true" outlineLevel="0" collapsed="false">
      <c r="D20" s="49" t="s">
        <v>61</v>
      </c>
    </row>
    <row r="21" customFormat="false" ht="39.75" hidden="false" customHeight="true" outlineLevel="0" collapsed="false"/>
    <row r="22" customFormat="false" ht="39.75" hidden="false" customHeight="true" outlineLevel="0" collapsed="false"/>
  </sheetData>
  <mergeCells count="1">
    <mergeCell ref="A5:H5"/>
  </mergeCells>
  <printOptions headings="false" gridLines="false" gridLinesSet="true" horizontalCentered="false" verticalCentered="false"/>
  <pageMargins left="0.511805555555556" right="0.511805555555556" top="0.747916666666667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1"/>
  <sheetViews>
    <sheetView showFormulas="false" showGridLines="true" showRowColHeaders="true" showZeros="true" rightToLeft="false" tabSelected="false" showOutlineSymbols="true" defaultGridColor="true" view="pageBreakPreview" topLeftCell="A16" colorId="64" zoomScale="100" zoomScaleNormal="100" zoomScalePageLayoutView="100" workbookViewId="0">
      <selection pane="topLeft" activeCell="M28" activeCellId="0" sqref="M28"/>
    </sheetView>
  </sheetViews>
  <sheetFormatPr defaultColWidth="8.75" defaultRowHeight="16.5" zeroHeight="false" outlineLevelRow="0" outlineLevelCol="0"/>
  <cols>
    <col collapsed="false" customWidth="true" hidden="false" outlineLevel="0" max="1" min="1" style="42" width="2.88"/>
    <col collapsed="false" customWidth="true" hidden="false" outlineLevel="0" max="2" min="2" style="42" width="17.13"/>
    <col collapsed="false" customWidth="true" hidden="false" outlineLevel="0" max="3" min="3" style="42" width="2.5"/>
    <col collapsed="false" customWidth="true" hidden="false" outlineLevel="0" max="4" min="4" style="42" width="11.75"/>
    <col collapsed="false" customWidth="true" hidden="false" outlineLevel="0" max="5" min="5" style="42" width="2.13"/>
    <col collapsed="false" customWidth="true" hidden="false" outlineLevel="0" max="6" min="6" style="42" width="16"/>
    <col collapsed="false" customWidth="true" hidden="false" outlineLevel="0" max="7" min="7" style="42" width="25.75"/>
    <col collapsed="false" customWidth="true" hidden="false" outlineLevel="0" max="8" min="8" style="42" width="2.13"/>
    <col collapsed="false" customWidth="false" hidden="false" outlineLevel="0" max="16384" min="9" style="42" width="8.75"/>
  </cols>
  <sheetData>
    <row r="1" customFormat="false" ht="39.75" hidden="false" customHeight="true" outlineLevel="0" collapsed="false">
      <c r="B1" s="50" t="s">
        <v>62</v>
      </c>
      <c r="C1" s="50"/>
      <c r="D1" s="50"/>
      <c r="E1" s="50"/>
      <c r="F1" s="50"/>
      <c r="G1" s="50"/>
      <c r="H1" s="51"/>
    </row>
    <row r="2" customFormat="false" ht="15" hidden="false" customHeight="true" outlineLevel="0" collapsed="false">
      <c r="B2" s="52"/>
      <c r="C2" s="52"/>
      <c r="D2" s="52"/>
      <c r="E2" s="52"/>
      <c r="F2" s="52"/>
      <c r="G2" s="52"/>
      <c r="H2" s="51"/>
    </row>
    <row r="3" customFormat="false" ht="27.75" hidden="false" customHeight="true" outlineLevel="0" collapsed="false">
      <c r="B3" s="53" t="s">
        <v>0</v>
      </c>
      <c r="C3" s="54" t="s">
        <v>63</v>
      </c>
      <c r="D3" s="55" t="str">
        <f aca="false">공사정보_출력X!C2</f>
        <v>(예시) OO부대 시설물 보수공사</v>
      </c>
      <c r="E3" s="55"/>
      <c r="F3" s="55"/>
      <c r="G3" s="55"/>
    </row>
    <row r="4" customFormat="false" ht="27.75" hidden="false" customHeight="true" outlineLevel="0" collapsed="false">
      <c r="B4" s="53" t="s">
        <v>64</v>
      </c>
      <c r="C4" s="54" t="s">
        <v>63</v>
      </c>
      <c r="D4" s="56" t="e">
        <f aca="false">"일금 "&amp;numberstring(공사정보_출력X!C9,1)&amp;"원정 ("&amp;DOLLAR(공사정보_출력X!C9,0)&amp;") "</f>
        <v>#NAME?</v>
      </c>
      <c r="E4" s="56"/>
      <c r="F4" s="56"/>
      <c r="G4" s="56"/>
    </row>
    <row r="5" customFormat="false" ht="27.75" hidden="false" customHeight="true" outlineLevel="0" collapsed="false">
      <c r="B5" s="53" t="s">
        <v>35</v>
      </c>
      <c r="C5" s="54" t="s">
        <v>63</v>
      </c>
      <c r="D5" s="56" t="str">
        <f aca="false">공사정보_출력X!C21</f>
        <v>2026-OO-001</v>
      </c>
      <c r="E5" s="56"/>
      <c r="F5" s="56"/>
      <c r="G5" s="56"/>
      <c r="H5" s="57"/>
    </row>
    <row r="6" customFormat="false" ht="27.75" hidden="false" customHeight="true" outlineLevel="0" collapsed="false">
      <c r="B6" s="53" t="s">
        <v>17</v>
      </c>
      <c r="C6" s="54" t="s">
        <v>63</v>
      </c>
      <c r="D6" s="58" t="n">
        <f aca="false">공사정보_출력X!C10</f>
        <v>46029</v>
      </c>
      <c r="E6" s="58"/>
      <c r="F6" s="58"/>
      <c r="G6" s="59"/>
    </row>
    <row r="7" customFormat="false" ht="27.75" hidden="false" customHeight="true" outlineLevel="0" collapsed="false">
      <c r="B7" s="53" t="s">
        <v>18</v>
      </c>
      <c r="C7" s="54" t="s">
        <v>63</v>
      </c>
      <c r="D7" s="58" t="n">
        <f aca="false">공사정보_출력X!C11</f>
        <v>46029</v>
      </c>
      <c r="E7" s="58"/>
      <c r="F7" s="58"/>
      <c r="G7" s="59"/>
    </row>
    <row r="8" customFormat="false" ht="27.75" hidden="false" customHeight="true" outlineLevel="0" collapsed="false">
      <c r="B8" s="53" t="s">
        <v>19</v>
      </c>
      <c r="C8" s="54" t="s">
        <v>63</v>
      </c>
      <c r="D8" s="58" t="n">
        <f aca="false">공사정보_출력X!C12</f>
        <v>46073</v>
      </c>
      <c r="E8" s="58"/>
      <c r="F8" s="58"/>
      <c r="G8" s="59"/>
    </row>
    <row r="9" customFormat="false" ht="24.75" hidden="false" customHeight="true" outlineLevel="0" collapsed="false"/>
    <row r="10" customFormat="false" ht="30" hidden="false" customHeight="true" outlineLevel="0" collapsed="false">
      <c r="B10" s="60" t="s">
        <v>65</v>
      </c>
    </row>
    <row r="11" customFormat="false" ht="24" hidden="false" customHeight="true" outlineLevel="0" collapsed="false">
      <c r="B11" s="61"/>
    </row>
    <row r="12" customFormat="false" ht="24" hidden="false" customHeight="true" outlineLevel="0" collapsed="false">
      <c r="B12" s="61"/>
    </row>
    <row r="13" customFormat="false" ht="24" hidden="false" customHeight="true" outlineLevel="0" collapsed="false">
      <c r="B13" s="61"/>
    </row>
    <row r="14" customFormat="false" ht="24.75" hidden="false" customHeight="true" outlineLevel="0" collapsed="false">
      <c r="B14" s="62" t="s">
        <v>66</v>
      </c>
      <c r="C14" s="42" t="s">
        <v>67</v>
      </c>
    </row>
    <row r="15" customFormat="false" ht="24.75" hidden="false" customHeight="true" outlineLevel="0" collapsed="false">
      <c r="B15" s="61"/>
      <c r="C15" s="42" t="s">
        <v>68</v>
      </c>
    </row>
    <row r="16" customFormat="false" ht="24.75" hidden="false" customHeight="true" outlineLevel="0" collapsed="false">
      <c r="B16" s="61"/>
      <c r="C16" s="42" t="s">
        <v>69</v>
      </c>
    </row>
    <row r="17" customFormat="false" ht="24.75" hidden="false" customHeight="true" outlineLevel="0" collapsed="false">
      <c r="B17" s="61"/>
      <c r="C17" s="42" t="s">
        <v>70</v>
      </c>
    </row>
    <row r="18" customFormat="false" ht="24.75" hidden="false" customHeight="true" outlineLevel="0" collapsed="false">
      <c r="B18" s="61"/>
      <c r="C18" s="42" t="s">
        <v>71</v>
      </c>
    </row>
    <row r="19" customFormat="false" ht="24.75" hidden="false" customHeight="true" outlineLevel="0" collapsed="false">
      <c r="B19" s="61"/>
      <c r="C19" s="42" t="s">
        <v>72</v>
      </c>
    </row>
    <row r="20" customFormat="false" ht="24.75" hidden="false" customHeight="true" outlineLevel="0" collapsed="false">
      <c r="B20" s="61"/>
      <c r="C20" s="42" t="s">
        <v>73</v>
      </c>
    </row>
    <row r="21" customFormat="false" ht="24.75" hidden="false" customHeight="true" outlineLevel="0" collapsed="false">
      <c r="B21" s="61"/>
      <c r="C21" s="42" t="s">
        <v>74</v>
      </c>
    </row>
    <row r="22" customFormat="false" ht="30" hidden="false" customHeight="true" outlineLevel="0" collapsed="false"/>
    <row r="23" customFormat="false" ht="30" hidden="false" customHeight="true" outlineLevel="0" collapsed="false">
      <c r="B23" s="63" t="n">
        <f aca="false">공사정보_출력X!C5</f>
        <v>46035</v>
      </c>
      <c r="C23" s="63"/>
      <c r="D23" s="63"/>
      <c r="E23" s="63"/>
      <c r="F23" s="63"/>
      <c r="G23" s="63"/>
      <c r="H23" s="63"/>
    </row>
    <row r="24" customFormat="false" ht="30" hidden="false" customHeight="true" outlineLevel="0" collapsed="false">
      <c r="B24" s="64"/>
    </row>
    <row r="25" customFormat="false" ht="30" hidden="false" customHeight="true" outlineLevel="0" collapsed="false">
      <c r="D25" s="53" t="s">
        <v>23</v>
      </c>
      <c r="E25" s="54" t="s">
        <v>63</v>
      </c>
      <c r="F25" s="65" t="str">
        <f aca="false">공사정보_출력X!E6</f>
        <v>OO도 OO시 OO구 OO로 00 (OO동) OOO호</v>
      </c>
      <c r="G25" s="65"/>
    </row>
    <row r="26" customFormat="false" ht="30" hidden="false" customHeight="true" outlineLevel="0" collapsed="false">
      <c r="D26" s="53" t="s">
        <v>75</v>
      </c>
      <c r="E26" s="54" t="s">
        <v>63</v>
      </c>
      <c r="F26" s="65" t="str">
        <f aca="false">공사정보_출력X!C6</f>
        <v>주식회사 가상건설</v>
      </c>
      <c r="G26" s="65"/>
    </row>
    <row r="27" customFormat="false" ht="30" hidden="false" customHeight="true" outlineLevel="0" collapsed="false">
      <c r="D27" s="53" t="s">
        <v>11</v>
      </c>
      <c r="E27" s="54" t="s">
        <v>63</v>
      </c>
      <c r="F27" s="53" t="str">
        <f aca="false">공사정보_출력X!C7</f>
        <v>홍길동</v>
      </c>
      <c r="G27" s="61" t="s">
        <v>76</v>
      </c>
    </row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>
      <c r="B30" s="66" t="str">
        <f aca="false">공사정보_출력X!C8</f>
        <v>OO부대</v>
      </c>
      <c r="C30" s="66"/>
      <c r="D30" s="66"/>
    </row>
    <row r="31" customFormat="false" ht="14.25" hidden="false" customHeight="true" outlineLevel="0" collapsed="false"/>
  </sheetData>
  <mergeCells count="10">
    <mergeCell ref="B1:G1"/>
    <mergeCell ref="D3:G3"/>
    <mergeCell ref="D4:G4"/>
    <mergeCell ref="D5:G5"/>
    <mergeCell ref="D6:F6"/>
    <mergeCell ref="D7:F7"/>
    <mergeCell ref="D8:F8"/>
    <mergeCell ref="B23:H23"/>
    <mergeCell ref="F25:G25"/>
    <mergeCell ref="F26:G26"/>
  </mergeCells>
  <printOptions headings="false" gridLines="false" gridLinesSet="true" horizontalCentered="true" verticalCentered="false"/>
  <pageMargins left="0.590277777777778" right="0.590277777777778" top="0.590277777777778" bottom="0.39375" header="0.511811023622047" footer="0.511811023622047"/>
  <pageSetup paperSize="9" scale="9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M24" activeCellId="0" sqref="M24"/>
    </sheetView>
  </sheetViews>
  <sheetFormatPr defaultColWidth="8.75" defaultRowHeight="16.5" zeroHeight="false" outlineLevelRow="0" outlineLevelCol="0"/>
  <cols>
    <col collapsed="false" customWidth="true" hidden="false" outlineLevel="0" max="1" min="1" style="42" width="16"/>
    <col collapsed="false" customWidth="true" hidden="false" outlineLevel="0" max="2" min="2" style="42" width="2.5"/>
    <col collapsed="false" customWidth="true" hidden="false" outlineLevel="0" max="3" min="3" style="42" width="14.13"/>
    <col collapsed="false" customWidth="true" hidden="false" outlineLevel="0" max="4" min="4" style="42" width="3.88"/>
    <col collapsed="false" customWidth="true" hidden="false" outlineLevel="0" max="7" min="5" style="42" width="10.63"/>
    <col collapsed="false" customWidth="true" hidden="false" outlineLevel="0" max="8" min="8" style="42" width="17"/>
    <col collapsed="false" customWidth="false" hidden="false" outlineLevel="0" max="16384" min="9" style="42" width="8.75"/>
  </cols>
  <sheetData>
    <row r="1" customFormat="false" ht="45" hidden="false" customHeight="true" outlineLevel="0" collapsed="false">
      <c r="A1" s="50" t="s">
        <v>77</v>
      </c>
      <c r="B1" s="50"/>
      <c r="C1" s="50"/>
      <c r="D1" s="50"/>
      <c r="E1" s="50"/>
      <c r="F1" s="50"/>
      <c r="G1" s="50"/>
      <c r="H1" s="50"/>
    </row>
    <row r="2" customFormat="false" ht="20.25" hidden="false" customHeight="true" outlineLevel="0" collapsed="false">
      <c r="A2" s="52"/>
      <c r="B2" s="52"/>
      <c r="C2" s="52"/>
      <c r="D2" s="52"/>
      <c r="E2" s="52"/>
      <c r="F2" s="52"/>
      <c r="G2" s="52"/>
      <c r="H2" s="52"/>
    </row>
    <row r="3" customFormat="false" ht="24.75" hidden="false" customHeight="true" outlineLevel="0" collapsed="false">
      <c r="A3" s="67" t="s">
        <v>0</v>
      </c>
      <c r="B3" s="67"/>
      <c r="C3" s="68" t="str">
        <f aca="false">공사정보_출력X!C2</f>
        <v>(예시) OO부대 시설물 보수공사</v>
      </c>
      <c r="D3" s="68"/>
      <c r="E3" s="68"/>
      <c r="F3" s="68"/>
      <c r="G3" s="68"/>
      <c r="H3" s="68"/>
    </row>
    <row r="4" customFormat="false" ht="24.75" hidden="false" customHeight="true" outlineLevel="0" collapsed="false">
      <c r="A4" s="67" t="s">
        <v>64</v>
      </c>
      <c r="B4" s="67"/>
      <c r="C4" s="69" t="n">
        <f aca="false">G4</f>
        <v>150000000</v>
      </c>
      <c r="D4" s="69"/>
      <c r="E4" s="69"/>
      <c r="F4" s="69"/>
      <c r="G4" s="70" t="n">
        <f aca="false">공사정보_출력X!C9</f>
        <v>150000000</v>
      </c>
      <c r="H4" s="70"/>
    </row>
    <row r="5" customFormat="false" ht="24.75" hidden="false" customHeight="true" outlineLevel="0" collapsed="false">
      <c r="A5" s="67" t="s">
        <v>35</v>
      </c>
      <c r="B5" s="67"/>
      <c r="C5" s="69" t="str">
        <f aca="false">공사정보_출력X!C21</f>
        <v>2026-OO-001</v>
      </c>
      <c r="D5" s="69"/>
      <c r="E5" s="69"/>
      <c r="F5" s="69"/>
      <c r="G5" s="69"/>
      <c r="H5" s="69"/>
    </row>
    <row r="6" customFormat="false" ht="24.75" hidden="false" customHeight="true" outlineLevel="0" collapsed="false">
      <c r="A6" s="67" t="s">
        <v>17</v>
      </c>
      <c r="B6" s="67"/>
      <c r="C6" s="71" t="n">
        <f aca="false">공사정보_출력X!C10</f>
        <v>46029</v>
      </c>
      <c r="D6" s="71"/>
      <c r="E6" s="71"/>
      <c r="F6" s="71"/>
      <c r="G6" s="71"/>
      <c r="H6" s="71"/>
    </row>
    <row r="7" customFormat="false" ht="24.75" hidden="false" customHeight="true" outlineLevel="0" collapsed="false">
      <c r="A7" s="67" t="s">
        <v>18</v>
      </c>
      <c r="B7" s="67"/>
      <c r="C7" s="71" t="n">
        <f aca="false">공사정보_출력X!C11</f>
        <v>46029</v>
      </c>
      <c r="D7" s="71"/>
      <c r="E7" s="71"/>
      <c r="F7" s="71"/>
      <c r="G7" s="71"/>
      <c r="H7" s="71"/>
    </row>
    <row r="8" customFormat="false" ht="24.75" hidden="false" customHeight="true" outlineLevel="0" collapsed="false">
      <c r="A8" s="67" t="s">
        <v>78</v>
      </c>
      <c r="B8" s="67"/>
      <c r="C8" s="71" t="n">
        <f aca="false">공사정보_출력X!C12</f>
        <v>46073</v>
      </c>
      <c r="D8" s="71"/>
      <c r="E8" s="71"/>
      <c r="F8" s="71"/>
      <c r="G8" s="71"/>
      <c r="H8" s="71"/>
    </row>
    <row r="9" customFormat="false" ht="24.75" hidden="false" customHeight="true" outlineLevel="0" collapsed="false"/>
    <row r="10" customFormat="false" ht="24.75" hidden="false" customHeight="true" outlineLevel="0" collapsed="false">
      <c r="A10" s="72" t="s">
        <v>20</v>
      </c>
      <c r="B10" s="73"/>
      <c r="C10" s="53" t="s">
        <v>23</v>
      </c>
      <c r="D10" s="54" t="s">
        <v>63</v>
      </c>
      <c r="E10" s="42" t="str">
        <f aca="false">공사정보_출력X!E14</f>
        <v>OO도 OO시 OO구 OO동 000-00</v>
      </c>
    </row>
    <row r="11" customFormat="false" ht="24.75" hidden="false" customHeight="true" outlineLevel="0" collapsed="false">
      <c r="A11" s="59"/>
      <c r="B11" s="59"/>
      <c r="C11" s="53" t="s">
        <v>79</v>
      </c>
      <c r="D11" s="54" t="s">
        <v>63</v>
      </c>
      <c r="E11" s="65" t="str">
        <f aca="false">공사정보_출력X!C13</f>
        <v>홍길동</v>
      </c>
      <c r="F11" s="65"/>
    </row>
    <row r="12" customFormat="false" ht="24.75" hidden="false" customHeight="true" outlineLevel="0" collapsed="false">
      <c r="C12" s="74" t="s">
        <v>26</v>
      </c>
      <c r="D12" s="54" t="s">
        <v>63</v>
      </c>
      <c r="E12" s="58" t="n">
        <f aca="false">공사정보_출력X!E16</f>
        <v>0</v>
      </c>
      <c r="F12" s="58"/>
    </row>
    <row r="13" customFormat="false" ht="24.75" hidden="false" customHeight="true" outlineLevel="0" collapsed="false">
      <c r="A13" s="75"/>
      <c r="B13" s="75"/>
      <c r="C13" s="74" t="s">
        <v>80</v>
      </c>
      <c r="D13" s="54" t="s">
        <v>63</v>
      </c>
      <c r="E13" s="76" t="str">
        <f aca="false">공사정보_출력X!E19</f>
        <v>중급</v>
      </c>
      <c r="F13" s="76"/>
      <c r="G13" s="54"/>
      <c r="H13" s="54"/>
    </row>
    <row r="14" customFormat="false" ht="24.75" hidden="false" customHeight="true" outlineLevel="0" collapsed="false">
      <c r="A14" s="64"/>
      <c r="B14" s="64"/>
      <c r="C14" s="74" t="s">
        <v>81</v>
      </c>
      <c r="D14" s="54" t="s">
        <v>63</v>
      </c>
      <c r="E14" s="58" t="str">
        <f aca="false">공사정보_출력X!E17</f>
        <v>00000000000X</v>
      </c>
      <c r="F14" s="58"/>
    </row>
    <row r="15" customFormat="false" ht="24.75" hidden="false" customHeight="true" outlineLevel="0" collapsed="false">
      <c r="A15" s="64"/>
      <c r="B15" s="64"/>
    </row>
    <row r="16" customFormat="false" ht="49.5" hidden="false" customHeight="true" outlineLevel="0" collapsed="false">
      <c r="A16" s="77" t="s">
        <v>82</v>
      </c>
      <c r="B16" s="77"/>
      <c r="C16" s="77"/>
      <c r="D16" s="77"/>
      <c r="E16" s="77"/>
      <c r="F16" s="77"/>
      <c r="G16" s="77"/>
      <c r="H16" s="77"/>
    </row>
    <row r="17" customFormat="false" ht="24.75" hidden="false" customHeight="true" outlineLevel="0" collapsed="false">
      <c r="A17" s="64"/>
      <c r="B17" s="64"/>
    </row>
    <row r="18" customFormat="false" ht="24.75" hidden="false" customHeight="true" outlineLevel="0" collapsed="false">
      <c r="A18" s="63" t="n">
        <f aca="false">공사정보_출력X!C5</f>
        <v>46035</v>
      </c>
      <c r="B18" s="63"/>
      <c r="C18" s="63"/>
      <c r="D18" s="63"/>
      <c r="E18" s="63"/>
      <c r="F18" s="63"/>
      <c r="G18" s="63"/>
      <c r="H18" s="63"/>
    </row>
    <row r="19" customFormat="false" ht="24.75" hidden="false" customHeight="true" outlineLevel="0" collapsed="false">
      <c r="A19" s="62" t="s">
        <v>66</v>
      </c>
      <c r="B19" s="42" t="s">
        <v>83</v>
      </c>
    </row>
    <row r="20" customFormat="false" ht="24.75" hidden="false" customHeight="true" outlineLevel="0" collapsed="false">
      <c r="A20" s="64"/>
      <c r="B20" s="42" t="s">
        <v>84</v>
      </c>
    </row>
    <row r="21" customFormat="false" ht="24.75" hidden="false" customHeight="true" outlineLevel="0" collapsed="false">
      <c r="A21" s="64"/>
      <c r="B21" s="64"/>
    </row>
    <row r="22" customFormat="false" ht="24.75" hidden="false" customHeight="true" outlineLevel="0" collapsed="false">
      <c r="A22" s="64"/>
      <c r="B22" s="64"/>
      <c r="N22" s="78"/>
    </row>
    <row r="23" customFormat="false" ht="27.75" hidden="false" customHeight="true" outlineLevel="0" collapsed="false">
      <c r="C23" s="53" t="s">
        <v>23</v>
      </c>
      <c r="D23" s="42" t="s">
        <v>63</v>
      </c>
      <c r="E23" s="79" t="str">
        <f aca="false">공사정보_출력X!E6</f>
        <v>OO도 OO시 OO구 OO로 00 (OO동) OOO호</v>
      </c>
      <c r="F23" s="79"/>
      <c r="G23" s="79"/>
      <c r="H23" s="79"/>
    </row>
    <row r="24" customFormat="false" ht="24.75" hidden="false" customHeight="true" outlineLevel="0" collapsed="false">
      <c r="C24" s="53" t="s">
        <v>75</v>
      </c>
      <c r="D24" s="42" t="s">
        <v>63</v>
      </c>
      <c r="E24" s="80" t="str">
        <f aca="false">공사정보_출력X!C6</f>
        <v>주식회사 가상건설</v>
      </c>
      <c r="F24" s="80"/>
      <c r="G24" s="80"/>
    </row>
    <row r="25" customFormat="false" ht="24.75" hidden="false" customHeight="true" outlineLevel="0" collapsed="false">
      <c r="C25" s="53" t="s">
        <v>85</v>
      </c>
      <c r="D25" s="42" t="s">
        <v>63</v>
      </c>
      <c r="E25" s="80" t="str">
        <f aca="false">공사정보_출력X!C7</f>
        <v>홍길동</v>
      </c>
      <c r="F25" s="80"/>
      <c r="G25" s="81" t="s">
        <v>76</v>
      </c>
    </row>
    <row r="26" customFormat="false" ht="41.25" hidden="false" customHeight="true" outlineLevel="0" collapsed="false">
      <c r="D26" s="53"/>
    </row>
    <row r="27" customFormat="false" ht="64.5" hidden="true" customHeight="true" outlineLevel="0" collapsed="false">
      <c r="A27" s="50" t="s">
        <v>86</v>
      </c>
      <c r="B27" s="50"/>
      <c r="C27" s="50"/>
      <c r="D27" s="50"/>
      <c r="E27" s="50"/>
      <c r="F27" s="50"/>
      <c r="G27" s="50"/>
      <c r="H27" s="50"/>
    </row>
    <row r="28" customFormat="false" ht="24.75" hidden="true" customHeight="true" outlineLevel="0" collapsed="false">
      <c r="A28" s="67" t="s">
        <v>0</v>
      </c>
      <c r="B28" s="67"/>
      <c r="C28" s="68" t="str">
        <f aca="false">C3</f>
        <v>(예시) OO부대 시설물 보수공사</v>
      </c>
      <c r="D28" s="68"/>
      <c r="E28" s="68"/>
      <c r="F28" s="68"/>
      <c r="G28" s="68"/>
      <c r="H28" s="68"/>
    </row>
    <row r="29" customFormat="false" ht="24.75" hidden="true" customHeight="true" outlineLevel="0" collapsed="false">
      <c r="A29" s="67" t="s">
        <v>16</v>
      </c>
      <c r="B29" s="67"/>
      <c r="C29" s="82" t="n">
        <f aca="false">C4</f>
        <v>150000000</v>
      </c>
      <c r="D29" s="82"/>
      <c r="E29" s="82"/>
      <c r="F29" s="82"/>
      <c r="G29" s="70" t="n">
        <f aca="false">G4</f>
        <v>150000000</v>
      </c>
      <c r="H29" s="70"/>
    </row>
    <row r="30" customFormat="false" ht="24.75" hidden="true" customHeight="true" outlineLevel="0" collapsed="false">
      <c r="A30" s="67" t="s">
        <v>17</v>
      </c>
      <c r="B30" s="67"/>
      <c r="C30" s="71" t="n">
        <f aca="false">C6</f>
        <v>46029</v>
      </c>
      <c r="D30" s="71"/>
      <c r="E30" s="71"/>
      <c r="F30" s="71"/>
      <c r="G30" s="71"/>
      <c r="H30" s="71"/>
    </row>
    <row r="31" customFormat="false" ht="24.75" hidden="true" customHeight="true" outlineLevel="0" collapsed="false">
      <c r="A31" s="67" t="s">
        <v>18</v>
      </c>
      <c r="B31" s="67"/>
      <c r="C31" s="71" t="n">
        <f aca="false">C7</f>
        <v>46029</v>
      </c>
      <c r="D31" s="71"/>
      <c r="E31" s="71"/>
      <c r="F31" s="71"/>
      <c r="G31" s="71"/>
      <c r="H31" s="71"/>
    </row>
    <row r="32" customFormat="false" ht="24.75" hidden="true" customHeight="true" outlineLevel="0" collapsed="false">
      <c r="A32" s="67" t="s">
        <v>78</v>
      </c>
      <c r="B32" s="67"/>
      <c r="C32" s="71" t="n">
        <f aca="false">C8</f>
        <v>46073</v>
      </c>
      <c r="D32" s="71"/>
      <c r="E32" s="71"/>
      <c r="F32" s="71"/>
      <c r="G32" s="71"/>
      <c r="H32" s="71"/>
    </row>
    <row r="33" customFormat="false" ht="24.75" hidden="true" customHeight="true" outlineLevel="0" collapsed="false"/>
    <row r="34" customFormat="false" ht="24.75" hidden="true" customHeight="true" outlineLevel="0" collapsed="false">
      <c r="A34" s="72" t="s">
        <v>87</v>
      </c>
      <c r="B34" s="73"/>
      <c r="C34" s="53" t="s">
        <v>23</v>
      </c>
      <c r="D34" s="54" t="s">
        <v>63</v>
      </c>
      <c r="E34" s="42" t="str">
        <f aca="false">E10</f>
        <v>OO도 OO시 OO구 OO동 000-00</v>
      </c>
    </row>
    <row r="35" customFormat="false" ht="24.75" hidden="true" customHeight="true" outlineLevel="0" collapsed="false">
      <c r="A35" s="59"/>
      <c r="B35" s="59"/>
      <c r="C35" s="53" t="s">
        <v>79</v>
      </c>
      <c r="D35" s="54" t="s">
        <v>63</v>
      </c>
      <c r="E35" s="65" t="str">
        <f aca="false">E11</f>
        <v>홍길동</v>
      </c>
      <c r="F35" s="65"/>
    </row>
    <row r="36" customFormat="false" ht="24.75" hidden="true" customHeight="true" outlineLevel="0" collapsed="false">
      <c r="C36" s="53" t="s">
        <v>26</v>
      </c>
      <c r="D36" s="54" t="s">
        <v>63</v>
      </c>
      <c r="E36" s="58" t="n">
        <f aca="false">E12</f>
        <v>0</v>
      </c>
      <c r="F36" s="58"/>
    </row>
    <row r="37" customFormat="false" ht="24.75" hidden="true" customHeight="true" outlineLevel="0" collapsed="false">
      <c r="A37" s="75"/>
      <c r="B37" s="75"/>
      <c r="C37" s="53" t="s">
        <v>88</v>
      </c>
      <c r="D37" s="54" t="s">
        <v>63</v>
      </c>
      <c r="E37" s="65" t="str">
        <f aca="false">E13</f>
        <v>중급</v>
      </c>
      <c r="F37" s="65"/>
      <c r="G37" s="54"/>
      <c r="H37" s="54"/>
    </row>
    <row r="38" customFormat="false" ht="24.75" hidden="true" customHeight="true" outlineLevel="0" collapsed="false">
      <c r="A38" s="64"/>
      <c r="B38" s="64"/>
      <c r="C38" s="53" t="s">
        <v>89</v>
      </c>
      <c r="D38" s="54" t="s">
        <v>63</v>
      </c>
      <c r="E38" s="65" t="str">
        <f aca="false">E14</f>
        <v>00000000000X</v>
      </c>
      <c r="F38" s="65"/>
    </row>
    <row r="39" customFormat="false" ht="24.75" hidden="true" customHeight="true" outlineLevel="0" collapsed="false">
      <c r="A39" s="64"/>
      <c r="B39" s="64"/>
    </row>
    <row r="40" customFormat="false" ht="67.5" hidden="true" customHeight="true" outlineLevel="0" collapsed="false">
      <c r="A40" s="77" t="s">
        <v>90</v>
      </c>
      <c r="B40" s="77"/>
      <c r="C40" s="77"/>
      <c r="D40" s="77"/>
      <c r="E40" s="77"/>
      <c r="F40" s="77"/>
      <c r="G40" s="77"/>
      <c r="H40" s="77"/>
    </row>
    <row r="41" customFormat="false" ht="24.75" hidden="true" customHeight="true" outlineLevel="0" collapsed="false">
      <c r="A41" s="64"/>
      <c r="B41" s="64"/>
    </row>
    <row r="42" customFormat="false" ht="24.75" hidden="true" customHeight="true" outlineLevel="0" collapsed="false">
      <c r="A42" s="63" t="n">
        <f aca="false">A18</f>
        <v>46035</v>
      </c>
      <c r="B42" s="63"/>
      <c r="C42" s="63"/>
      <c r="D42" s="63"/>
      <c r="E42" s="63"/>
      <c r="F42" s="63"/>
      <c r="G42" s="63"/>
      <c r="H42" s="63"/>
    </row>
    <row r="43" customFormat="false" ht="24.75" hidden="true" customHeight="true" outlineLevel="0" collapsed="false">
      <c r="A43" s="64"/>
      <c r="B43" s="64"/>
    </row>
    <row r="44" customFormat="false" ht="24.75" hidden="true" customHeight="true" outlineLevel="0" collapsed="false">
      <c r="A44" s="64"/>
      <c r="B44" s="64"/>
    </row>
    <row r="45" customFormat="false" ht="28.5" hidden="true" customHeight="true" outlineLevel="0" collapsed="false">
      <c r="C45" s="53" t="s">
        <v>23</v>
      </c>
      <c r="D45" s="42" t="s">
        <v>63</v>
      </c>
      <c r="E45" s="79" t="str">
        <f aca="false">E23</f>
        <v>OO도 OO시 OO구 OO로 00 (OO동) OOO호</v>
      </c>
      <c r="F45" s="79"/>
      <c r="G45" s="79"/>
      <c r="H45" s="79"/>
    </row>
    <row r="46" customFormat="false" ht="24.75" hidden="true" customHeight="true" outlineLevel="0" collapsed="false">
      <c r="C46" s="53" t="s">
        <v>75</v>
      </c>
      <c r="D46" s="42" t="s">
        <v>63</v>
      </c>
      <c r="E46" s="80" t="str">
        <f aca="false">E24</f>
        <v>주식회사 가상건설</v>
      </c>
      <c r="F46" s="80"/>
      <c r="G46" s="80"/>
    </row>
    <row r="47" customFormat="false" ht="24.75" hidden="true" customHeight="true" outlineLevel="0" collapsed="false">
      <c r="C47" s="53" t="s">
        <v>85</v>
      </c>
      <c r="D47" s="42" t="s">
        <v>63</v>
      </c>
      <c r="E47" s="80" t="str">
        <f aca="false">E25</f>
        <v>홍길동</v>
      </c>
      <c r="F47" s="80"/>
      <c r="G47" s="81" t="s">
        <v>76</v>
      </c>
    </row>
    <row r="48" customFormat="false" ht="24.75" hidden="true" customHeight="true" outlineLevel="0" collapsed="false">
      <c r="D48" s="53"/>
    </row>
    <row r="49" customFormat="false" ht="24.75" hidden="true" customHeight="true" outlineLevel="0" collapsed="false"/>
    <row r="50" customFormat="false" ht="24.75" hidden="true" customHeight="true" outlineLevel="0" collapsed="false"/>
    <row r="51" customFormat="false" ht="64.5" hidden="true" customHeight="true" outlineLevel="0" collapsed="false">
      <c r="A51" s="50" t="s">
        <v>91</v>
      </c>
      <c r="B51" s="50"/>
      <c r="C51" s="50"/>
      <c r="D51" s="50"/>
      <c r="E51" s="50"/>
      <c r="F51" s="50"/>
      <c r="G51" s="50"/>
      <c r="H51" s="50"/>
    </row>
    <row r="52" customFormat="false" ht="24.75" hidden="true" customHeight="true" outlineLevel="0" collapsed="false">
      <c r="A52" s="67" t="s">
        <v>0</v>
      </c>
      <c r="B52" s="67"/>
      <c r="C52" s="68" t="str">
        <f aca="false">C28</f>
        <v>(예시) OO부대 시설물 보수공사</v>
      </c>
      <c r="D52" s="68"/>
      <c r="E52" s="68"/>
      <c r="F52" s="68"/>
      <c r="G52" s="68"/>
      <c r="H52" s="68"/>
    </row>
    <row r="53" customFormat="false" ht="24.75" hidden="true" customHeight="true" outlineLevel="0" collapsed="false">
      <c r="A53" s="67" t="s">
        <v>16</v>
      </c>
      <c r="B53" s="67"/>
      <c r="C53" s="82" t="n">
        <f aca="false">G53</f>
        <v>150000000</v>
      </c>
      <c r="D53" s="82"/>
      <c r="E53" s="82"/>
      <c r="F53" s="82"/>
      <c r="G53" s="70" t="n">
        <f aca="false">G29</f>
        <v>150000000</v>
      </c>
      <c r="H53" s="70"/>
    </row>
    <row r="54" customFormat="false" ht="24.75" hidden="true" customHeight="true" outlineLevel="0" collapsed="false">
      <c r="A54" s="67" t="s">
        <v>17</v>
      </c>
      <c r="B54" s="67"/>
      <c r="C54" s="71" t="n">
        <f aca="false">C30</f>
        <v>46029</v>
      </c>
      <c r="D54" s="71"/>
      <c r="E54" s="71"/>
      <c r="F54" s="71"/>
      <c r="G54" s="71"/>
      <c r="H54" s="71"/>
    </row>
    <row r="55" customFormat="false" ht="24.75" hidden="true" customHeight="true" outlineLevel="0" collapsed="false">
      <c r="A55" s="67" t="s">
        <v>18</v>
      </c>
      <c r="B55" s="67"/>
      <c r="C55" s="71" t="n">
        <f aca="false">C31</f>
        <v>46029</v>
      </c>
      <c r="D55" s="71"/>
      <c r="E55" s="71"/>
      <c r="F55" s="71"/>
      <c r="G55" s="71"/>
      <c r="H55" s="71"/>
    </row>
    <row r="56" customFormat="false" ht="24.75" hidden="true" customHeight="true" outlineLevel="0" collapsed="false">
      <c r="A56" s="67" t="s">
        <v>78</v>
      </c>
      <c r="B56" s="67"/>
      <c r="C56" s="71" t="n">
        <f aca="false">C32</f>
        <v>46073</v>
      </c>
      <c r="D56" s="71"/>
      <c r="E56" s="71"/>
      <c r="F56" s="71"/>
      <c r="G56" s="71"/>
      <c r="H56" s="71"/>
    </row>
    <row r="57" customFormat="false" ht="24.75" hidden="true" customHeight="true" outlineLevel="0" collapsed="false"/>
    <row r="58" customFormat="false" ht="24.75" hidden="true" customHeight="true" outlineLevel="0" collapsed="false">
      <c r="A58" s="72" t="s">
        <v>92</v>
      </c>
      <c r="B58" s="73"/>
      <c r="C58" s="53" t="s">
        <v>23</v>
      </c>
      <c r="D58" s="54" t="s">
        <v>63</v>
      </c>
      <c r="E58" s="42" t="str">
        <f aca="false">공사정보_출력X!E14</f>
        <v>OO도 OO시 OO구 OO동 000-00</v>
      </c>
    </row>
    <row r="59" customFormat="false" ht="24.75" hidden="true" customHeight="true" outlineLevel="0" collapsed="false">
      <c r="A59" s="59"/>
      <c r="B59" s="59"/>
      <c r="C59" s="53" t="s">
        <v>79</v>
      </c>
      <c r="D59" s="54" t="s">
        <v>63</v>
      </c>
      <c r="E59" s="65" t="str">
        <f aca="false">공사정보_출력X!C13</f>
        <v>홍길동</v>
      </c>
      <c r="F59" s="65"/>
    </row>
    <row r="60" customFormat="false" ht="24.75" hidden="true" customHeight="true" outlineLevel="0" collapsed="false">
      <c r="C60" s="53" t="s">
        <v>26</v>
      </c>
      <c r="D60" s="54" t="s">
        <v>63</v>
      </c>
      <c r="E60" s="58" t="n">
        <f aca="false">공사정보_출력X!E16</f>
        <v>0</v>
      </c>
      <c r="F60" s="58"/>
    </row>
    <row r="61" customFormat="false" ht="24.75" hidden="true" customHeight="true" outlineLevel="0" collapsed="false">
      <c r="A61" s="75"/>
      <c r="B61" s="75"/>
      <c r="C61" s="53" t="s">
        <v>88</v>
      </c>
      <c r="D61" s="54" t="s">
        <v>63</v>
      </c>
      <c r="E61" s="65" t="str">
        <f aca="false">공사정보_출력X!E19</f>
        <v>중급</v>
      </c>
      <c r="F61" s="65"/>
      <c r="G61" s="54"/>
      <c r="H61" s="54"/>
    </row>
    <row r="62" customFormat="false" ht="24.75" hidden="true" customHeight="true" outlineLevel="0" collapsed="false">
      <c r="A62" s="64"/>
      <c r="B62" s="64"/>
      <c r="C62" s="53" t="s">
        <v>89</v>
      </c>
      <c r="D62" s="54" t="s">
        <v>63</v>
      </c>
      <c r="E62" s="65" t="n">
        <f aca="false">공사정보_출력X!E18</f>
        <v>0</v>
      </c>
      <c r="F62" s="65"/>
    </row>
    <row r="63" customFormat="false" ht="24.75" hidden="true" customHeight="true" outlineLevel="0" collapsed="false">
      <c r="A63" s="64"/>
      <c r="B63" s="64"/>
    </row>
    <row r="64" customFormat="false" ht="67.5" hidden="true" customHeight="true" outlineLevel="0" collapsed="false">
      <c r="A64" s="77" t="s">
        <v>93</v>
      </c>
      <c r="B64" s="77"/>
      <c r="C64" s="77"/>
      <c r="D64" s="77"/>
      <c r="E64" s="77"/>
      <c r="F64" s="77"/>
      <c r="G64" s="77"/>
      <c r="H64" s="77"/>
    </row>
    <row r="65" customFormat="false" ht="24.75" hidden="true" customHeight="true" outlineLevel="0" collapsed="false">
      <c r="A65" s="64"/>
      <c r="B65" s="64"/>
    </row>
    <row r="66" customFormat="false" ht="24.75" hidden="true" customHeight="true" outlineLevel="0" collapsed="false">
      <c r="A66" s="63" t="n">
        <f aca="false">A42</f>
        <v>46035</v>
      </c>
      <c r="B66" s="63"/>
      <c r="C66" s="63"/>
      <c r="D66" s="63"/>
      <c r="E66" s="63"/>
      <c r="F66" s="63"/>
      <c r="G66" s="63"/>
      <c r="H66" s="63"/>
    </row>
    <row r="67" customFormat="false" ht="24.75" hidden="true" customHeight="true" outlineLevel="0" collapsed="false">
      <c r="A67" s="64"/>
      <c r="B67" s="64"/>
    </row>
    <row r="68" customFormat="false" ht="24.75" hidden="true" customHeight="true" outlineLevel="0" collapsed="false">
      <c r="A68" s="64"/>
      <c r="B68" s="64"/>
    </row>
    <row r="69" customFormat="false" ht="30" hidden="true" customHeight="true" outlineLevel="0" collapsed="false">
      <c r="C69" s="53" t="str">
        <f aca="false">C45</f>
        <v>주소</v>
      </c>
      <c r="D69" s="42" t="str">
        <f aca="false">D45</f>
        <v>:</v>
      </c>
      <c r="E69" s="79" t="str">
        <f aca="false">E45</f>
        <v>OO도 OO시 OO구 OO로 00 (OO동) OOO호</v>
      </c>
      <c r="F69" s="79"/>
      <c r="G69" s="79"/>
      <c r="H69" s="79"/>
    </row>
    <row r="70" customFormat="false" ht="24.75" hidden="true" customHeight="true" outlineLevel="0" collapsed="false">
      <c r="C70" s="53" t="s">
        <v>75</v>
      </c>
      <c r="D70" s="42" t="s">
        <v>63</v>
      </c>
      <c r="E70" s="80" t="str">
        <f aca="false">E24</f>
        <v>주식회사 가상건설</v>
      </c>
      <c r="F70" s="80"/>
      <c r="G70" s="80"/>
    </row>
    <row r="71" customFormat="false" ht="24.75" hidden="true" customHeight="true" outlineLevel="0" collapsed="false">
      <c r="C71" s="53" t="s">
        <v>85</v>
      </c>
      <c r="D71" s="42" t="s">
        <v>63</v>
      </c>
      <c r="E71" s="80" t="str">
        <f aca="false">E25</f>
        <v>홍길동</v>
      </c>
      <c r="F71" s="80"/>
      <c r="G71" s="81" t="s">
        <v>76</v>
      </c>
    </row>
    <row r="72" customFormat="false" ht="24.75" hidden="true" customHeight="true" outlineLevel="0" collapsed="false">
      <c r="D72" s="53"/>
    </row>
    <row r="73" customFormat="false" ht="24.75" hidden="true" customHeight="true" outlineLevel="0" collapsed="false"/>
    <row r="74" customFormat="false" ht="24.75" hidden="true" customHeight="true" outlineLevel="0" collapsed="false"/>
    <row r="75" customFormat="false" ht="24.75" hidden="false" customHeight="true" outlineLevel="0" collapsed="false"/>
    <row r="76" customFormat="false" ht="64.5" hidden="false" customHeight="true" outlineLevel="0" collapsed="false">
      <c r="A76" s="83" t="s">
        <v>94</v>
      </c>
      <c r="B76" s="83"/>
      <c r="C76" s="83"/>
      <c r="D76" s="83"/>
      <c r="E76" s="83"/>
      <c r="F76" s="83"/>
      <c r="G76" s="83"/>
      <c r="H76" s="83"/>
    </row>
    <row r="77" customFormat="false" ht="34.5" hidden="false" customHeight="true" outlineLevel="0" collapsed="false">
      <c r="A77" s="84" t="s">
        <v>95</v>
      </c>
      <c r="B77" s="84"/>
      <c r="C77" s="85" t="s">
        <v>96</v>
      </c>
      <c r="D77" s="86"/>
      <c r="E77" s="86"/>
      <c r="F77" s="86"/>
      <c r="G77" s="86"/>
      <c r="H77" s="86"/>
    </row>
    <row r="78" customFormat="false" ht="34.5" hidden="false" customHeight="true" outlineLevel="0" collapsed="false">
      <c r="A78" s="87" t="s">
        <v>79</v>
      </c>
      <c r="B78" s="87"/>
      <c r="C78" s="88" t="str">
        <f aca="false">공사정보_출력X!C13</f>
        <v>홍길동</v>
      </c>
      <c r="D78" s="89"/>
      <c r="E78" s="89"/>
      <c r="F78" s="89"/>
      <c r="G78" s="89"/>
      <c r="H78" s="90"/>
    </row>
    <row r="79" customFormat="false" ht="34.5" hidden="false" customHeight="true" outlineLevel="0" collapsed="false">
      <c r="A79" s="87" t="s">
        <v>25</v>
      </c>
      <c r="B79" s="87"/>
      <c r="C79" s="91" t="n">
        <f aca="false">공사정보_출력X!E15</f>
        <v>0</v>
      </c>
      <c r="D79" s="91"/>
      <c r="E79" s="91"/>
      <c r="F79" s="91"/>
      <c r="G79" s="91"/>
      <c r="H79" s="91"/>
    </row>
    <row r="80" customFormat="false" ht="34.5" hidden="false" customHeight="true" outlineLevel="0" collapsed="false">
      <c r="A80" s="87" t="s">
        <v>23</v>
      </c>
      <c r="B80" s="87"/>
      <c r="C80" s="92" t="str">
        <f aca="false">공사정보_출력X!E14</f>
        <v>OO도 OO시 OO구 OO동 000-00</v>
      </c>
      <c r="D80" s="92"/>
      <c r="E80" s="92"/>
      <c r="F80" s="92"/>
      <c r="G80" s="92"/>
      <c r="H80" s="92"/>
    </row>
    <row r="81" customFormat="false" ht="34.5" hidden="false" customHeight="true" outlineLevel="0" collapsed="false">
      <c r="A81" s="93" t="s">
        <v>97</v>
      </c>
      <c r="B81" s="93"/>
      <c r="C81" s="94" t="n">
        <f aca="false">공사정보_출력X!E20</f>
        <v>0</v>
      </c>
      <c r="D81" s="94"/>
      <c r="E81" s="95" t="s">
        <v>98</v>
      </c>
      <c r="F81" s="95"/>
      <c r="G81" s="95"/>
      <c r="H81" s="95"/>
    </row>
    <row r="82" customFormat="false" ht="34.5" hidden="false" customHeight="true" outlineLevel="0" collapsed="false">
      <c r="A82" s="96" t="s">
        <v>99</v>
      </c>
      <c r="B82" s="96"/>
      <c r="C82" s="97" t="s">
        <v>100</v>
      </c>
      <c r="D82" s="97"/>
      <c r="E82" s="97"/>
      <c r="F82" s="97"/>
      <c r="G82" s="97"/>
      <c r="H82" s="97"/>
    </row>
    <row r="83" customFormat="false" ht="24.75" hidden="false" customHeight="true" outlineLevel="0" collapsed="false"/>
    <row r="84" customFormat="false" ht="24.75" hidden="false" customHeight="true" outlineLevel="0" collapsed="false">
      <c r="A84" s="98" t="s">
        <v>101</v>
      </c>
      <c r="B84" s="98"/>
    </row>
    <row r="85" customFormat="false" ht="24.75" hidden="false" customHeight="true" outlineLevel="0" collapsed="false">
      <c r="A85" s="59"/>
      <c r="B85" s="59"/>
    </row>
    <row r="86" customFormat="false" ht="24.75" hidden="false" customHeight="true" outlineLevel="0" collapsed="false"/>
    <row r="87" customFormat="false" ht="24.75" hidden="false" customHeight="true" outlineLevel="0" collapsed="false">
      <c r="A87" s="63" t="n">
        <f aca="false">공사정보_출력X!C5</f>
        <v>46035</v>
      </c>
      <c r="B87" s="63"/>
      <c r="C87" s="63"/>
      <c r="D87" s="63"/>
      <c r="E87" s="63"/>
      <c r="F87" s="63"/>
      <c r="G87" s="63"/>
      <c r="H87" s="63"/>
    </row>
    <row r="88" customFormat="false" ht="24.75" hidden="false" customHeight="true" outlineLevel="0" collapsed="false">
      <c r="A88" s="75"/>
      <c r="B88" s="75"/>
      <c r="C88" s="54"/>
      <c r="D88" s="54"/>
      <c r="E88" s="54"/>
      <c r="F88" s="54"/>
      <c r="G88" s="54"/>
      <c r="H88" s="54"/>
    </row>
    <row r="89" customFormat="false" ht="24.75" hidden="false" customHeight="true" outlineLevel="0" collapsed="false">
      <c r="A89" s="64"/>
      <c r="B89" s="64"/>
    </row>
    <row r="90" customFormat="false" ht="24.75" hidden="false" customHeight="true" outlineLevel="0" collapsed="false">
      <c r="A90" s="64"/>
      <c r="B90" s="64"/>
    </row>
    <row r="91" customFormat="false" ht="39.75" hidden="false" customHeight="true" outlineLevel="0" collapsed="false">
      <c r="C91" s="53" t="s">
        <v>23</v>
      </c>
      <c r="D91" s="42" t="s">
        <v>63</v>
      </c>
      <c r="E91" s="79" t="str">
        <f aca="false">E69</f>
        <v>OO도 OO시 OO구 OO로 00 (OO동) OOO호</v>
      </c>
      <c r="F91" s="79"/>
      <c r="G91" s="79"/>
      <c r="H91" s="79"/>
    </row>
    <row r="92" customFormat="false" ht="39.75" hidden="false" customHeight="true" outlineLevel="0" collapsed="false">
      <c r="C92" s="53" t="s">
        <v>75</v>
      </c>
      <c r="D92" s="42" t="s">
        <v>63</v>
      </c>
      <c r="E92" s="80" t="str">
        <f aca="false">E70</f>
        <v>주식회사 가상건설</v>
      </c>
      <c r="F92" s="80"/>
      <c r="G92" s="80"/>
    </row>
    <row r="93" customFormat="false" ht="39.75" hidden="false" customHeight="true" outlineLevel="0" collapsed="false">
      <c r="C93" s="53" t="s">
        <v>85</v>
      </c>
      <c r="D93" s="42" t="s">
        <v>63</v>
      </c>
      <c r="E93" s="80" t="str">
        <f aca="false">E71</f>
        <v>홍길동</v>
      </c>
      <c r="F93" s="80"/>
      <c r="G93" s="81" t="s">
        <v>76</v>
      </c>
    </row>
    <row r="94" customFormat="false" ht="24.75" hidden="false" customHeight="true" outlineLevel="0" collapsed="false">
      <c r="D94" s="53"/>
    </row>
    <row r="95" customFormat="false" ht="24.75" hidden="false" customHeight="true" outlineLevel="0" collapsed="false"/>
    <row r="96" customFormat="false" ht="24.75" hidden="false" customHeight="true" outlineLevel="0" collapsed="false"/>
    <row r="97" customFormat="false" ht="24.75" hidden="false" customHeight="true" outlineLevel="0" collapsed="false"/>
    <row r="98" customFormat="false" ht="24.75" hidden="false" customHeight="true" outlineLevel="0" collapsed="false"/>
    <row r="99" customFormat="false" ht="24.75" hidden="false" customHeight="true" outlineLevel="0" collapsed="false">
      <c r="A99" s="99" t="s">
        <v>102</v>
      </c>
      <c r="B99" s="99"/>
      <c r="C99" s="99"/>
      <c r="D99" s="99"/>
      <c r="E99" s="99"/>
      <c r="F99" s="99"/>
      <c r="G99" s="99"/>
      <c r="H99" s="99"/>
    </row>
    <row r="100" customFormat="false" ht="24.75" hidden="false" customHeight="true" outlineLevel="0" collapsed="false">
      <c r="A100" s="100"/>
      <c r="B100" s="100"/>
    </row>
    <row r="101" customFormat="false" ht="24.75" hidden="false" customHeight="true" outlineLevel="0" collapsed="false">
      <c r="A101" s="101"/>
      <c r="B101" s="101"/>
      <c r="C101" s="101"/>
      <c r="D101" s="101"/>
      <c r="E101" s="101"/>
      <c r="F101" s="101"/>
      <c r="G101" s="101"/>
      <c r="H101" s="101"/>
    </row>
    <row r="102" customFormat="false" ht="24.75" hidden="false" customHeight="true" outlineLevel="0" collapsed="false">
      <c r="A102" s="101"/>
      <c r="B102" s="101"/>
      <c r="C102" s="101"/>
      <c r="D102" s="101"/>
      <c r="E102" s="101"/>
      <c r="F102" s="101"/>
      <c r="G102" s="101"/>
      <c r="H102" s="101"/>
    </row>
    <row r="103" customFormat="false" ht="24.75" hidden="false" customHeight="true" outlineLevel="0" collapsed="false">
      <c r="A103" s="101"/>
      <c r="B103" s="101"/>
      <c r="C103" s="101"/>
      <c r="D103" s="101"/>
      <c r="E103" s="101"/>
      <c r="F103" s="101"/>
      <c r="G103" s="101"/>
      <c r="H103" s="101"/>
    </row>
    <row r="104" customFormat="false" ht="24.75" hidden="false" customHeight="true" outlineLevel="0" collapsed="false">
      <c r="A104" s="101"/>
      <c r="B104" s="101"/>
      <c r="C104" s="101"/>
      <c r="D104" s="101"/>
      <c r="E104" s="101"/>
      <c r="F104" s="101"/>
      <c r="G104" s="101"/>
      <c r="H104" s="101"/>
    </row>
    <row r="105" customFormat="false" ht="24.75" hidden="false" customHeight="true" outlineLevel="0" collapsed="false">
      <c r="A105" s="101"/>
      <c r="B105" s="101"/>
      <c r="C105" s="101"/>
      <c r="D105" s="101"/>
      <c r="E105" s="101"/>
      <c r="F105" s="101"/>
      <c r="G105" s="101"/>
      <c r="H105" s="101"/>
    </row>
    <row r="106" customFormat="false" ht="24.75" hidden="false" customHeight="true" outlineLevel="0" collapsed="false">
      <c r="A106" s="101"/>
      <c r="B106" s="101"/>
      <c r="C106" s="101"/>
      <c r="D106" s="101"/>
      <c r="E106" s="101"/>
      <c r="F106" s="101"/>
      <c r="G106" s="101"/>
      <c r="H106" s="101"/>
    </row>
    <row r="107" customFormat="false" ht="24.75" hidden="false" customHeight="true" outlineLevel="0" collapsed="false">
      <c r="A107" s="101"/>
      <c r="B107" s="101"/>
      <c r="C107" s="101"/>
      <c r="D107" s="101"/>
      <c r="E107" s="101"/>
      <c r="F107" s="101"/>
      <c r="G107" s="101"/>
      <c r="H107" s="101"/>
    </row>
    <row r="108" customFormat="false" ht="24.75" hidden="false" customHeight="true" outlineLevel="0" collapsed="false">
      <c r="A108" s="101"/>
      <c r="B108" s="101"/>
      <c r="C108" s="101"/>
      <c r="D108" s="101"/>
      <c r="E108" s="101"/>
      <c r="F108" s="101"/>
      <c r="G108" s="101"/>
      <c r="H108" s="101"/>
    </row>
    <row r="109" customFormat="false" ht="24.75" hidden="false" customHeight="true" outlineLevel="0" collapsed="false">
      <c r="A109" s="101"/>
      <c r="B109" s="101"/>
      <c r="C109" s="101"/>
      <c r="D109" s="101"/>
      <c r="E109" s="101"/>
      <c r="F109" s="101"/>
      <c r="G109" s="101"/>
      <c r="H109" s="101"/>
    </row>
    <row r="110" customFormat="false" ht="24.75" hidden="false" customHeight="true" outlineLevel="0" collapsed="false">
      <c r="A110" s="101"/>
      <c r="B110" s="101"/>
      <c r="C110" s="101"/>
      <c r="D110" s="101"/>
      <c r="E110" s="101"/>
      <c r="F110" s="101"/>
      <c r="G110" s="101"/>
      <c r="H110" s="101"/>
    </row>
    <row r="111" customFormat="false" ht="24.75" hidden="false" customHeight="true" outlineLevel="0" collapsed="false">
      <c r="A111" s="101"/>
      <c r="B111" s="101"/>
      <c r="C111" s="101"/>
      <c r="D111" s="101"/>
      <c r="E111" s="101"/>
      <c r="F111" s="101"/>
      <c r="G111" s="101"/>
      <c r="H111" s="101"/>
    </row>
    <row r="112" customFormat="false" ht="24.75" hidden="false" customHeight="true" outlineLevel="0" collapsed="false">
      <c r="A112" s="101"/>
      <c r="B112" s="101"/>
      <c r="C112" s="101"/>
      <c r="D112" s="101"/>
      <c r="E112" s="101"/>
      <c r="F112" s="101"/>
      <c r="G112" s="101"/>
      <c r="H112" s="101"/>
    </row>
    <row r="113" customFormat="false" ht="24.75" hidden="false" customHeight="true" outlineLevel="0" collapsed="false">
      <c r="A113" s="101"/>
      <c r="B113" s="101"/>
      <c r="C113" s="101"/>
      <c r="D113" s="101"/>
      <c r="E113" s="101"/>
      <c r="F113" s="101"/>
      <c r="G113" s="101"/>
      <c r="H113" s="101"/>
    </row>
    <row r="114" customFormat="false" ht="24.75" hidden="false" customHeight="true" outlineLevel="0" collapsed="false">
      <c r="A114" s="101"/>
      <c r="B114" s="101"/>
      <c r="C114" s="101"/>
      <c r="D114" s="101"/>
      <c r="E114" s="101"/>
      <c r="F114" s="101"/>
      <c r="G114" s="101"/>
      <c r="H114" s="101"/>
    </row>
    <row r="115" customFormat="false" ht="24.75" hidden="false" customHeight="true" outlineLevel="0" collapsed="false">
      <c r="A115" s="101"/>
      <c r="B115" s="101"/>
      <c r="C115" s="101"/>
      <c r="D115" s="101"/>
      <c r="E115" s="101"/>
      <c r="F115" s="101"/>
      <c r="G115" s="101"/>
      <c r="H115" s="101"/>
    </row>
    <row r="116" customFormat="false" ht="24.75" hidden="false" customHeight="true" outlineLevel="0" collapsed="false">
      <c r="A116" s="101"/>
      <c r="B116" s="101"/>
      <c r="C116" s="101"/>
      <c r="D116" s="101"/>
      <c r="E116" s="101"/>
      <c r="F116" s="101"/>
      <c r="G116" s="101"/>
      <c r="H116" s="101"/>
    </row>
    <row r="117" customFormat="false" ht="24.75" hidden="false" customHeight="true" outlineLevel="0" collapsed="false">
      <c r="A117" s="101"/>
      <c r="B117" s="101"/>
      <c r="C117" s="101"/>
      <c r="D117" s="101"/>
      <c r="E117" s="101"/>
      <c r="F117" s="101"/>
      <c r="G117" s="101"/>
      <c r="H117" s="101"/>
    </row>
    <row r="118" customFormat="false" ht="24.75" hidden="false" customHeight="true" outlineLevel="0" collapsed="false">
      <c r="A118" s="101"/>
      <c r="B118" s="101"/>
      <c r="C118" s="101"/>
      <c r="D118" s="101"/>
      <c r="E118" s="101"/>
      <c r="F118" s="101"/>
      <c r="G118" s="101"/>
      <c r="H118" s="101"/>
    </row>
    <row r="119" customFormat="false" ht="24.75" hidden="false" customHeight="true" outlineLevel="0" collapsed="false">
      <c r="A119" s="101"/>
      <c r="B119" s="101"/>
      <c r="C119" s="101"/>
      <c r="D119" s="101"/>
      <c r="E119" s="101"/>
      <c r="F119" s="101"/>
      <c r="G119" s="101"/>
      <c r="H119" s="101"/>
    </row>
    <row r="120" customFormat="false" ht="24.75" hidden="false" customHeight="true" outlineLevel="0" collapsed="false">
      <c r="A120" s="101"/>
      <c r="B120" s="101"/>
      <c r="C120" s="101"/>
      <c r="D120" s="101"/>
      <c r="E120" s="101"/>
      <c r="F120" s="101"/>
      <c r="G120" s="101"/>
      <c r="H120" s="101"/>
    </row>
    <row r="121" customFormat="false" ht="24.75" hidden="false" customHeight="true" outlineLevel="0" collapsed="false">
      <c r="A121" s="101"/>
      <c r="B121" s="101"/>
      <c r="C121" s="101"/>
      <c r="D121" s="101"/>
      <c r="E121" s="101"/>
      <c r="F121" s="101"/>
      <c r="G121" s="101"/>
      <c r="H121" s="101"/>
    </row>
    <row r="122" customFormat="false" ht="24.75" hidden="false" customHeight="true" outlineLevel="0" collapsed="false">
      <c r="A122" s="101"/>
      <c r="B122" s="101"/>
      <c r="C122" s="101"/>
      <c r="D122" s="101"/>
      <c r="E122" s="101"/>
      <c r="F122" s="101"/>
      <c r="G122" s="101"/>
      <c r="H122" s="101"/>
    </row>
    <row r="123" customFormat="false" ht="24.75" hidden="false" customHeight="true" outlineLevel="0" collapsed="false">
      <c r="A123" s="101"/>
      <c r="B123" s="101"/>
      <c r="C123" s="101"/>
      <c r="D123" s="101"/>
      <c r="E123" s="101"/>
      <c r="F123" s="101"/>
      <c r="G123" s="101"/>
      <c r="H123" s="101"/>
    </row>
    <row r="124" customFormat="false" ht="24.75" hidden="false" customHeight="true" outlineLevel="0" collapsed="false">
      <c r="A124" s="101"/>
      <c r="B124" s="101"/>
      <c r="C124" s="101"/>
      <c r="D124" s="101"/>
      <c r="E124" s="101"/>
      <c r="F124" s="101"/>
      <c r="G124" s="101"/>
      <c r="H124" s="101"/>
    </row>
    <row r="125" customFormat="false" ht="24.75" hidden="false" customHeight="true" outlineLevel="0" collapsed="false"/>
  </sheetData>
  <mergeCells count="82">
    <mergeCell ref="A1:H1"/>
    <mergeCell ref="A3:B3"/>
    <mergeCell ref="C3:H3"/>
    <mergeCell ref="A4:B4"/>
    <mergeCell ref="C4:F4"/>
    <mergeCell ref="G4:H4"/>
    <mergeCell ref="A5:B5"/>
    <mergeCell ref="C5:H5"/>
    <mergeCell ref="A6:B6"/>
    <mergeCell ref="C6:H6"/>
    <mergeCell ref="A7:B7"/>
    <mergeCell ref="C7:H7"/>
    <mergeCell ref="A8:B8"/>
    <mergeCell ref="C8:H8"/>
    <mergeCell ref="E11:F11"/>
    <mergeCell ref="E12:F12"/>
    <mergeCell ref="E13:F13"/>
    <mergeCell ref="E14:F14"/>
    <mergeCell ref="A16:H16"/>
    <mergeCell ref="A18:H18"/>
    <mergeCell ref="E23:H23"/>
    <mergeCell ref="E24:G24"/>
    <mergeCell ref="E25:F25"/>
    <mergeCell ref="A27:H27"/>
    <mergeCell ref="A28:B28"/>
    <mergeCell ref="C28:H28"/>
    <mergeCell ref="A29:B29"/>
    <mergeCell ref="C29:F29"/>
    <mergeCell ref="G29:H29"/>
    <mergeCell ref="A30:B30"/>
    <mergeCell ref="C30:H30"/>
    <mergeCell ref="A31:B31"/>
    <mergeCell ref="C31:H31"/>
    <mergeCell ref="A32:B32"/>
    <mergeCell ref="C32:H32"/>
    <mergeCell ref="E35:F35"/>
    <mergeCell ref="E36:F36"/>
    <mergeCell ref="E37:F37"/>
    <mergeCell ref="E38:F38"/>
    <mergeCell ref="A40:H40"/>
    <mergeCell ref="A42:H42"/>
    <mergeCell ref="E45:H45"/>
    <mergeCell ref="E46:G46"/>
    <mergeCell ref="E47:F47"/>
    <mergeCell ref="A51:H51"/>
    <mergeCell ref="A52:B52"/>
    <mergeCell ref="C52:H52"/>
    <mergeCell ref="A53:B53"/>
    <mergeCell ref="C53:F53"/>
    <mergeCell ref="G53:H53"/>
    <mergeCell ref="A54:B54"/>
    <mergeCell ref="C54:H54"/>
    <mergeCell ref="A55:B55"/>
    <mergeCell ref="C55:H55"/>
    <mergeCell ref="A56:B56"/>
    <mergeCell ref="C56:H56"/>
    <mergeCell ref="E59:F59"/>
    <mergeCell ref="E60:F60"/>
    <mergeCell ref="E61:F61"/>
    <mergeCell ref="E62:F62"/>
    <mergeCell ref="A64:H64"/>
    <mergeCell ref="A66:H66"/>
    <mergeCell ref="E69:H69"/>
    <mergeCell ref="E70:G70"/>
    <mergeCell ref="E71:F71"/>
    <mergeCell ref="A76:H76"/>
    <mergeCell ref="A77:B77"/>
    <mergeCell ref="A78:B78"/>
    <mergeCell ref="A79:B79"/>
    <mergeCell ref="C79:H79"/>
    <mergeCell ref="A80:B80"/>
    <mergeCell ref="C80:H80"/>
    <mergeCell ref="A81:B81"/>
    <mergeCell ref="C81:D81"/>
    <mergeCell ref="A82:B82"/>
    <mergeCell ref="C82:H82"/>
    <mergeCell ref="A87:H87"/>
    <mergeCell ref="E91:H91"/>
    <mergeCell ref="E92:G92"/>
    <mergeCell ref="E93:F93"/>
    <mergeCell ref="A99:H99"/>
    <mergeCell ref="A101:H124"/>
  </mergeCells>
  <printOptions headings="false" gridLines="false" gridLinesSet="true" horizontalCentered="true" verticalCentered="false"/>
  <pageMargins left="0.7875" right="0.7875" top="0.984027777777778" bottom="0.7875" header="0.511811023622047" footer="0.511811023622047"/>
  <pageSetup paperSize="9" scale="9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75" man="true" max="16383" min="0"/>
    <brk id="97" man="true" max="16383" min="0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pageBreakPreview" topLeftCell="A1" colorId="64" zoomScale="130" zoomScaleNormal="120" zoomScalePageLayoutView="13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X6" activeCellId="0" sqref="X6"/>
    </sheetView>
  </sheetViews>
  <sheetFormatPr defaultColWidth="9.87890625" defaultRowHeight="13.5" zeroHeight="false" outlineLevelRow="0" outlineLevelCol="0"/>
  <cols>
    <col collapsed="false" customWidth="true" hidden="false" outlineLevel="0" max="1" min="1" style="102" width="6.63"/>
    <col collapsed="false" customWidth="true" hidden="false" outlineLevel="0" max="2" min="2" style="102" width="19"/>
    <col collapsed="false" customWidth="true" hidden="false" outlineLevel="0" max="19" min="3" style="102" width="6.63"/>
    <col collapsed="false" customWidth="true" hidden="false" outlineLevel="0" max="34" min="20" style="102" width="4.13"/>
    <col collapsed="false" customWidth="false" hidden="false" outlineLevel="0" max="215" min="35" style="102" width="9.88"/>
    <col collapsed="false" customWidth="true" hidden="false" outlineLevel="0" max="216" min="216" style="102" width="5.88"/>
    <col collapsed="false" customWidth="true" hidden="false" outlineLevel="0" max="217" min="217" style="102" width="14.25"/>
    <col collapsed="false" customWidth="true" hidden="false" outlineLevel="0" max="218" min="218" style="102" width="16.63"/>
    <col collapsed="false" customWidth="true" hidden="false" outlineLevel="0" max="219" min="219" style="102" width="8.88"/>
    <col collapsed="false" customWidth="true" hidden="false" outlineLevel="0" max="263" min="220" style="102" width="4.13"/>
    <col collapsed="false" customWidth="true" hidden="false" outlineLevel="0" max="264" min="264" style="102" width="5.88"/>
    <col collapsed="false" customWidth="true" hidden="false" outlineLevel="0" max="267" min="265" style="102" width="3.13"/>
    <col collapsed="false" customWidth="true" hidden="false" outlineLevel="0" max="289" min="268" style="102" width="2"/>
    <col collapsed="false" customWidth="false" hidden="false" outlineLevel="0" max="471" min="290" style="102" width="9.88"/>
    <col collapsed="false" customWidth="true" hidden="false" outlineLevel="0" max="472" min="472" style="102" width="5.88"/>
    <col collapsed="false" customWidth="true" hidden="false" outlineLevel="0" max="473" min="473" style="102" width="14.25"/>
    <col collapsed="false" customWidth="true" hidden="false" outlineLevel="0" max="474" min="474" style="102" width="16.63"/>
    <col collapsed="false" customWidth="true" hidden="false" outlineLevel="0" max="475" min="475" style="102" width="8.88"/>
    <col collapsed="false" customWidth="true" hidden="false" outlineLevel="0" max="519" min="476" style="102" width="4.13"/>
    <col collapsed="false" customWidth="true" hidden="false" outlineLevel="0" max="520" min="520" style="102" width="5.88"/>
    <col collapsed="false" customWidth="true" hidden="false" outlineLevel="0" max="523" min="521" style="102" width="3.13"/>
    <col collapsed="false" customWidth="true" hidden="false" outlineLevel="0" max="545" min="524" style="102" width="2"/>
    <col collapsed="false" customWidth="false" hidden="false" outlineLevel="0" max="727" min="546" style="102" width="9.88"/>
    <col collapsed="false" customWidth="true" hidden="false" outlineLevel="0" max="728" min="728" style="102" width="5.88"/>
    <col collapsed="false" customWidth="true" hidden="false" outlineLevel="0" max="729" min="729" style="102" width="14.25"/>
    <col collapsed="false" customWidth="true" hidden="false" outlineLevel="0" max="730" min="730" style="102" width="16.63"/>
    <col collapsed="false" customWidth="true" hidden="false" outlineLevel="0" max="731" min="731" style="102" width="8.88"/>
    <col collapsed="false" customWidth="true" hidden="false" outlineLevel="0" max="775" min="732" style="102" width="4.13"/>
    <col collapsed="false" customWidth="true" hidden="false" outlineLevel="0" max="776" min="776" style="102" width="5.88"/>
    <col collapsed="false" customWidth="true" hidden="false" outlineLevel="0" max="779" min="777" style="102" width="3.13"/>
    <col collapsed="false" customWidth="true" hidden="false" outlineLevel="0" max="801" min="780" style="102" width="2"/>
    <col collapsed="false" customWidth="false" hidden="false" outlineLevel="0" max="983" min="802" style="102" width="9.88"/>
    <col collapsed="false" customWidth="true" hidden="false" outlineLevel="0" max="984" min="984" style="102" width="5.88"/>
    <col collapsed="false" customWidth="true" hidden="false" outlineLevel="0" max="985" min="985" style="102" width="14.25"/>
    <col collapsed="false" customWidth="true" hidden="false" outlineLevel="0" max="986" min="986" style="102" width="16.63"/>
    <col collapsed="false" customWidth="true" hidden="false" outlineLevel="0" max="987" min="987" style="102" width="8.88"/>
    <col collapsed="false" customWidth="true" hidden="false" outlineLevel="0" max="1031" min="988" style="102" width="4.13"/>
    <col collapsed="false" customWidth="true" hidden="false" outlineLevel="0" max="1032" min="1032" style="102" width="5.88"/>
    <col collapsed="false" customWidth="true" hidden="false" outlineLevel="0" max="1035" min="1033" style="102" width="3.13"/>
    <col collapsed="false" customWidth="true" hidden="false" outlineLevel="0" max="1057" min="1036" style="102" width="2"/>
    <col collapsed="false" customWidth="false" hidden="false" outlineLevel="0" max="1239" min="1058" style="102" width="9.88"/>
    <col collapsed="false" customWidth="true" hidden="false" outlineLevel="0" max="1240" min="1240" style="102" width="5.88"/>
    <col collapsed="false" customWidth="true" hidden="false" outlineLevel="0" max="1241" min="1241" style="102" width="14.25"/>
    <col collapsed="false" customWidth="true" hidden="false" outlineLevel="0" max="1242" min="1242" style="102" width="16.63"/>
    <col collapsed="false" customWidth="true" hidden="false" outlineLevel="0" max="1243" min="1243" style="102" width="8.88"/>
    <col collapsed="false" customWidth="true" hidden="false" outlineLevel="0" max="1287" min="1244" style="102" width="4.13"/>
    <col collapsed="false" customWidth="true" hidden="false" outlineLevel="0" max="1288" min="1288" style="102" width="5.88"/>
    <col collapsed="false" customWidth="true" hidden="false" outlineLevel="0" max="1291" min="1289" style="102" width="3.13"/>
    <col collapsed="false" customWidth="true" hidden="false" outlineLevel="0" max="1313" min="1292" style="102" width="2"/>
    <col collapsed="false" customWidth="false" hidden="false" outlineLevel="0" max="1495" min="1314" style="102" width="9.88"/>
    <col collapsed="false" customWidth="true" hidden="false" outlineLevel="0" max="1496" min="1496" style="102" width="5.88"/>
    <col collapsed="false" customWidth="true" hidden="false" outlineLevel="0" max="1497" min="1497" style="102" width="14.25"/>
    <col collapsed="false" customWidth="true" hidden="false" outlineLevel="0" max="1498" min="1498" style="102" width="16.63"/>
    <col collapsed="false" customWidth="true" hidden="false" outlineLevel="0" max="1499" min="1499" style="102" width="8.88"/>
    <col collapsed="false" customWidth="true" hidden="false" outlineLevel="0" max="1543" min="1500" style="102" width="4.13"/>
    <col collapsed="false" customWidth="true" hidden="false" outlineLevel="0" max="1544" min="1544" style="102" width="5.88"/>
    <col collapsed="false" customWidth="true" hidden="false" outlineLevel="0" max="1547" min="1545" style="102" width="3.13"/>
    <col collapsed="false" customWidth="true" hidden="false" outlineLevel="0" max="1569" min="1548" style="102" width="2"/>
    <col collapsed="false" customWidth="false" hidden="false" outlineLevel="0" max="1751" min="1570" style="102" width="9.88"/>
    <col collapsed="false" customWidth="true" hidden="false" outlineLevel="0" max="1752" min="1752" style="102" width="5.88"/>
    <col collapsed="false" customWidth="true" hidden="false" outlineLevel="0" max="1753" min="1753" style="102" width="14.25"/>
    <col collapsed="false" customWidth="true" hidden="false" outlineLevel="0" max="1754" min="1754" style="102" width="16.63"/>
    <col collapsed="false" customWidth="true" hidden="false" outlineLevel="0" max="1755" min="1755" style="102" width="8.88"/>
    <col collapsed="false" customWidth="true" hidden="false" outlineLevel="0" max="1799" min="1756" style="102" width="4.13"/>
    <col collapsed="false" customWidth="true" hidden="false" outlineLevel="0" max="1800" min="1800" style="102" width="5.88"/>
    <col collapsed="false" customWidth="true" hidden="false" outlineLevel="0" max="1803" min="1801" style="102" width="3.13"/>
    <col collapsed="false" customWidth="true" hidden="false" outlineLevel="0" max="1825" min="1804" style="102" width="2"/>
    <col collapsed="false" customWidth="false" hidden="false" outlineLevel="0" max="2007" min="1826" style="102" width="9.88"/>
    <col collapsed="false" customWidth="true" hidden="false" outlineLevel="0" max="2008" min="2008" style="102" width="5.88"/>
    <col collapsed="false" customWidth="true" hidden="false" outlineLevel="0" max="2009" min="2009" style="102" width="14.25"/>
    <col collapsed="false" customWidth="true" hidden="false" outlineLevel="0" max="2010" min="2010" style="102" width="16.63"/>
    <col collapsed="false" customWidth="true" hidden="false" outlineLevel="0" max="2011" min="2011" style="102" width="8.88"/>
    <col collapsed="false" customWidth="true" hidden="false" outlineLevel="0" max="2055" min="2012" style="102" width="4.13"/>
    <col collapsed="false" customWidth="true" hidden="false" outlineLevel="0" max="2056" min="2056" style="102" width="5.88"/>
    <col collapsed="false" customWidth="true" hidden="false" outlineLevel="0" max="2059" min="2057" style="102" width="3.13"/>
    <col collapsed="false" customWidth="true" hidden="false" outlineLevel="0" max="2081" min="2060" style="102" width="2"/>
    <col collapsed="false" customWidth="false" hidden="false" outlineLevel="0" max="2263" min="2082" style="102" width="9.88"/>
    <col collapsed="false" customWidth="true" hidden="false" outlineLevel="0" max="2264" min="2264" style="102" width="5.88"/>
    <col collapsed="false" customWidth="true" hidden="false" outlineLevel="0" max="2265" min="2265" style="102" width="14.25"/>
    <col collapsed="false" customWidth="true" hidden="false" outlineLevel="0" max="2266" min="2266" style="102" width="16.63"/>
    <col collapsed="false" customWidth="true" hidden="false" outlineLevel="0" max="2267" min="2267" style="102" width="8.88"/>
    <col collapsed="false" customWidth="true" hidden="false" outlineLevel="0" max="2311" min="2268" style="102" width="4.13"/>
    <col collapsed="false" customWidth="true" hidden="false" outlineLevel="0" max="2312" min="2312" style="102" width="5.88"/>
    <col collapsed="false" customWidth="true" hidden="false" outlineLevel="0" max="2315" min="2313" style="102" width="3.13"/>
    <col collapsed="false" customWidth="true" hidden="false" outlineLevel="0" max="2337" min="2316" style="102" width="2"/>
    <col collapsed="false" customWidth="false" hidden="false" outlineLevel="0" max="2519" min="2338" style="102" width="9.88"/>
    <col collapsed="false" customWidth="true" hidden="false" outlineLevel="0" max="2520" min="2520" style="102" width="5.88"/>
    <col collapsed="false" customWidth="true" hidden="false" outlineLevel="0" max="2521" min="2521" style="102" width="14.25"/>
    <col collapsed="false" customWidth="true" hidden="false" outlineLevel="0" max="2522" min="2522" style="102" width="16.63"/>
    <col collapsed="false" customWidth="true" hidden="false" outlineLevel="0" max="2523" min="2523" style="102" width="8.88"/>
    <col collapsed="false" customWidth="true" hidden="false" outlineLevel="0" max="2567" min="2524" style="102" width="4.13"/>
    <col collapsed="false" customWidth="true" hidden="false" outlineLevel="0" max="2568" min="2568" style="102" width="5.88"/>
    <col collapsed="false" customWidth="true" hidden="false" outlineLevel="0" max="2571" min="2569" style="102" width="3.13"/>
    <col collapsed="false" customWidth="true" hidden="false" outlineLevel="0" max="2593" min="2572" style="102" width="2"/>
    <col collapsed="false" customWidth="false" hidden="false" outlineLevel="0" max="2775" min="2594" style="102" width="9.88"/>
    <col collapsed="false" customWidth="true" hidden="false" outlineLevel="0" max="2776" min="2776" style="102" width="5.88"/>
    <col collapsed="false" customWidth="true" hidden="false" outlineLevel="0" max="2777" min="2777" style="102" width="14.25"/>
    <col collapsed="false" customWidth="true" hidden="false" outlineLevel="0" max="2778" min="2778" style="102" width="16.63"/>
    <col collapsed="false" customWidth="true" hidden="false" outlineLevel="0" max="2779" min="2779" style="102" width="8.88"/>
    <col collapsed="false" customWidth="true" hidden="false" outlineLevel="0" max="2823" min="2780" style="102" width="4.13"/>
    <col collapsed="false" customWidth="true" hidden="false" outlineLevel="0" max="2824" min="2824" style="102" width="5.88"/>
    <col collapsed="false" customWidth="true" hidden="false" outlineLevel="0" max="2827" min="2825" style="102" width="3.13"/>
    <col collapsed="false" customWidth="true" hidden="false" outlineLevel="0" max="2849" min="2828" style="102" width="2"/>
    <col collapsed="false" customWidth="false" hidden="false" outlineLevel="0" max="3031" min="2850" style="102" width="9.88"/>
    <col collapsed="false" customWidth="true" hidden="false" outlineLevel="0" max="3032" min="3032" style="102" width="5.88"/>
    <col collapsed="false" customWidth="true" hidden="false" outlineLevel="0" max="3033" min="3033" style="102" width="14.25"/>
    <col collapsed="false" customWidth="true" hidden="false" outlineLevel="0" max="3034" min="3034" style="102" width="16.63"/>
    <col collapsed="false" customWidth="true" hidden="false" outlineLevel="0" max="3035" min="3035" style="102" width="8.88"/>
    <col collapsed="false" customWidth="true" hidden="false" outlineLevel="0" max="3079" min="3036" style="102" width="4.13"/>
    <col collapsed="false" customWidth="true" hidden="false" outlineLevel="0" max="3080" min="3080" style="102" width="5.88"/>
    <col collapsed="false" customWidth="true" hidden="false" outlineLevel="0" max="3083" min="3081" style="102" width="3.13"/>
    <col collapsed="false" customWidth="true" hidden="false" outlineLevel="0" max="3105" min="3084" style="102" width="2"/>
    <col collapsed="false" customWidth="false" hidden="false" outlineLevel="0" max="3287" min="3106" style="102" width="9.88"/>
    <col collapsed="false" customWidth="true" hidden="false" outlineLevel="0" max="3288" min="3288" style="102" width="5.88"/>
    <col collapsed="false" customWidth="true" hidden="false" outlineLevel="0" max="3289" min="3289" style="102" width="14.25"/>
    <col collapsed="false" customWidth="true" hidden="false" outlineLevel="0" max="3290" min="3290" style="102" width="16.63"/>
    <col collapsed="false" customWidth="true" hidden="false" outlineLevel="0" max="3291" min="3291" style="102" width="8.88"/>
    <col collapsed="false" customWidth="true" hidden="false" outlineLevel="0" max="3335" min="3292" style="102" width="4.13"/>
    <col collapsed="false" customWidth="true" hidden="false" outlineLevel="0" max="3336" min="3336" style="102" width="5.88"/>
    <col collapsed="false" customWidth="true" hidden="false" outlineLevel="0" max="3339" min="3337" style="102" width="3.13"/>
    <col collapsed="false" customWidth="true" hidden="false" outlineLevel="0" max="3361" min="3340" style="102" width="2"/>
    <col collapsed="false" customWidth="false" hidden="false" outlineLevel="0" max="3543" min="3362" style="102" width="9.88"/>
    <col collapsed="false" customWidth="true" hidden="false" outlineLevel="0" max="3544" min="3544" style="102" width="5.88"/>
    <col collapsed="false" customWidth="true" hidden="false" outlineLevel="0" max="3545" min="3545" style="102" width="14.25"/>
    <col collapsed="false" customWidth="true" hidden="false" outlineLevel="0" max="3546" min="3546" style="102" width="16.63"/>
    <col collapsed="false" customWidth="true" hidden="false" outlineLevel="0" max="3547" min="3547" style="102" width="8.88"/>
    <col collapsed="false" customWidth="true" hidden="false" outlineLevel="0" max="3591" min="3548" style="102" width="4.13"/>
    <col collapsed="false" customWidth="true" hidden="false" outlineLevel="0" max="3592" min="3592" style="102" width="5.88"/>
    <col collapsed="false" customWidth="true" hidden="false" outlineLevel="0" max="3595" min="3593" style="102" width="3.13"/>
    <col collapsed="false" customWidth="true" hidden="false" outlineLevel="0" max="3617" min="3596" style="102" width="2"/>
    <col collapsed="false" customWidth="false" hidden="false" outlineLevel="0" max="3799" min="3618" style="102" width="9.88"/>
    <col collapsed="false" customWidth="true" hidden="false" outlineLevel="0" max="3800" min="3800" style="102" width="5.88"/>
    <col collapsed="false" customWidth="true" hidden="false" outlineLevel="0" max="3801" min="3801" style="102" width="14.25"/>
    <col collapsed="false" customWidth="true" hidden="false" outlineLevel="0" max="3802" min="3802" style="102" width="16.63"/>
    <col collapsed="false" customWidth="true" hidden="false" outlineLevel="0" max="3803" min="3803" style="102" width="8.88"/>
    <col collapsed="false" customWidth="true" hidden="false" outlineLevel="0" max="3847" min="3804" style="102" width="4.13"/>
    <col collapsed="false" customWidth="true" hidden="false" outlineLevel="0" max="3848" min="3848" style="102" width="5.88"/>
    <col collapsed="false" customWidth="true" hidden="false" outlineLevel="0" max="3851" min="3849" style="102" width="3.13"/>
    <col collapsed="false" customWidth="true" hidden="false" outlineLevel="0" max="3873" min="3852" style="102" width="2"/>
    <col collapsed="false" customWidth="false" hidden="false" outlineLevel="0" max="4055" min="3874" style="102" width="9.88"/>
    <col collapsed="false" customWidth="true" hidden="false" outlineLevel="0" max="4056" min="4056" style="102" width="5.88"/>
    <col collapsed="false" customWidth="true" hidden="false" outlineLevel="0" max="4057" min="4057" style="102" width="14.25"/>
    <col collapsed="false" customWidth="true" hidden="false" outlineLevel="0" max="4058" min="4058" style="102" width="16.63"/>
    <col collapsed="false" customWidth="true" hidden="false" outlineLevel="0" max="4059" min="4059" style="102" width="8.88"/>
    <col collapsed="false" customWidth="true" hidden="false" outlineLevel="0" max="4103" min="4060" style="102" width="4.13"/>
    <col collapsed="false" customWidth="true" hidden="false" outlineLevel="0" max="4104" min="4104" style="102" width="5.88"/>
    <col collapsed="false" customWidth="true" hidden="false" outlineLevel="0" max="4107" min="4105" style="102" width="3.13"/>
    <col collapsed="false" customWidth="true" hidden="false" outlineLevel="0" max="4129" min="4108" style="102" width="2"/>
    <col collapsed="false" customWidth="false" hidden="false" outlineLevel="0" max="4311" min="4130" style="102" width="9.88"/>
    <col collapsed="false" customWidth="true" hidden="false" outlineLevel="0" max="4312" min="4312" style="102" width="5.88"/>
    <col collapsed="false" customWidth="true" hidden="false" outlineLevel="0" max="4313" min="4313" style="102" width="14.25"/>
    <col collapsed="false" customWidth="true" hidden="false" outlineLevel="0" max="4314" min="4314" style="102" width="16.63"/>
    <col collapsed="false" customWidth="true" hidden="false" outlineLevel="0" max="4315" min="4315" style="102" width="8.88"/>
    <col collapsed="false" customWidth="true" hidden="false" outlineLevel="0" max="4359" min="4316" style="102" width="4.13"/>
    <col collapsed="false" customWidth="true" hidden="false" outlineLevel="0" max="4360" min="4360" style="102" width="5.88"/>
    <col collapsed="false" customWidth="true" hidden="false" outlineLevel="0" max="4363" min="4361" style="102" width="3.13"/>
    <col collapsed="false" customWidth="true" hidden="false" outlineLevel="0" max="4385" min="4364" style="102" width="2"/>
    <col collapsed="false" customWidth="false" hidden="false" outlineLevel="0" max="4567" min="4386" style="102" width="9.88"/>
    <col collapsed="false" customWidth="true" hidden="false" outlineLevel="0" max="4568" min="4568" style="102" width="5.88"/>
    <col collapsed="false" customWidth="true" hidden="false" outlineLevel="0" max="4569" min="4569" style="102" width="14.25"/>
    <col collapsed="false" customWidth="true" hidden="false" outlineLevel="0" max="4570" min="4570" style="102" width="16.63"/>
    <col collapsed="false" customWidth="true" hidden="false" outlineLevel="0" max="4571" min="4571" style="102" width="8.88"/>
    <col collapsed="false" customWidth="true" hidden="false" outlineLevel="0" max="4615" min="4572" style="102" width="4.13"/>
    <col collapsed="false" customWidth="true" hidden="false" outlineLevel="0" max="4616" min="4616" style="102" width="5.88"/>
    <col collapsed="false" customWidth="true" hidden="false" outlineLevel="0" max="4619" min="4617" style="102" width="3.13"/>
    <col collapsed="false" customWidth="true" hidden="false" outlineLevel="0" max="4641" min="4620" style="102" width="2"/>
    <col collapsed="false" customWidth="false" hidden="false" outlineLevel="0" max="4823" min="4642" style="102" width="9.88"/>
    <col collapsed="false" customWidth="true" hidden="false" outlineLevel="0" max="4824" min="4824" style="102" width="5.88"/>
    <col collapsed="false" customWidth="true" hidden="false" outlineLevel="0" max="4825" min="4825" style="102" width="14.25"/>
    <col collapsed="false" customWidth="true" hidden="false" outlineLevel="0" max="4826" min="4826" style="102" width="16.63"/>
    <col collapsed="false" customWidth="true" hidden="false" outlineLevel="0" max="4827" min="4827" style="102" width="8.88"/>
    <col collapsed="false" customWidth="true" hidden="false" outlineLevel="0" max="4871" min="4828" style="102" width="4.13"/>
    <col collapsed="false" customWidth="true" hidden="false" outlineLevel="0" max="4872" min="4872" style="102" width="5.88"/>
    <col collapsed="false" customWidth="true" hidden="false" outlineLevel="0" max="4875" min="4873" style="102" width="3.13"/>
    <col collapsed="false" customWidth="true" hidden="false" outlineLevel="0" max="4897" min="4876" style="102" width="2"/>
    <col collapsed="false" customWidth="false" hidden="false" outlineLevel="0" max="5079" min="4898" style="102" width="9.88"/>
    <col collapsed="false" customWidth="true" hidden="false" outlineLevel="0" max="5080" min="5080" style="102" width="5.88"/>
    <col collapsed="false" customWidth="true" hidden="false" outlineLevel="0" max="5081" min="5081" style="102" width="14.25"/>
    <col collapsed="false" customWidth="true" hidden="false" outlineLevel="0" max="5082" min="5082" style="102" width="16.63"/>
    <col collapsed="false" customWidth="true" hidden="false" outlineLevel="0" max="5083" min="5083" style="102" width="8.88"/>
    <col collapsed="false" customWidth="true" hidden="false" outlineLevel="0" max="5127" min="5084" style="102" width="4.13"/>
    <col collapsed="false" customWidth="true" hidden="false" outlineLevel="0" max="5128" min="5128" style="102" width="5.88"/>
    <col collapsed="false" customWidth="true" hidden="false" outlineLevel="0" max="5131" min="5129" style="102" width="3.13"/>
    <col collapsed="false" customWidth="true" hidden="false" outlineLevel="0" max="5153" min="5132" style="102" width="2"/>
    <col collapsed="false" customWidth="false" hidden="false" outlineLevel="0" max="5335" min="5154" style="102" width="9.88"/>
    <col collapsed="false" customWidth="true" hidden="false" outlineLevel="0" max="5336" min="5336" style="102" width="5.88"/>
    <col collapsed="false" customWidth="true" hidden="false" outlineLevel="0" max="5337" min="5337" style="102" width="14.25"/>
    <col collapsed="false" customWidth="true" hidden="false" outlineLevel="0" max="5338" min="5338" style="102" width="16.63"/>
    <col collapsed="false" customWidth="true" hidden="false" outlineLevel="0" max="5339" min="5339" style="102" width="8.88"/>
    <col collapsed="false" customWidth="true" hidden="false" outlineLevel="0" max="5383" min="5340" style="102" width="4.13"/>
    <col collapsed="false" customWidth="true" hidden="false" outlineLevel="0" max="5384" min="5384" style="102" width="5.88"/>
    <col collapsed="false" customWidth="true" hidden="false" outlineLevel="0" max="5387" min="5385" style="102" width="3.13"/>
    <col collapsed="false" customWidth="true" hidden="false" outlineLevel="0" max="5409" min="5388" style="102" width="2"/>
    <col collapsed="false" customWidth="false" hidden="false" outlineLevel="0" max="5591" min="5410" style="102" width="9.88"/>
    <col collapsed="false" customWidth="true" hidden="false" outlineLevel="0" max="5592" min="5592" style="102" width="5.88"/>
    <col collapsed="false" customWidth="true" hidden="false" outlineLevel="0" max="5593" min="5593" style="102" width="14.25"/>
    <col collapsed="false" customWidth="true" hidden="false" outlineLevel="0" max="5594" min="5594" style="102" width="16.63"/>
    <col collapsed="false" customWidth="true" hidden="false" outlineLevel="0" max="5595" min="5595" style="102" width="8.88"/>
    <col collapsed="false" customWidth="true" hidden="false" outlineLevel="0" max="5639" min="5596" style="102" width="4.13"/>
    <col collapsed="false" customWidth="true" hidden="false" outlineLevel="0" max="5640" min="5640" style="102" width="5.88"/>
    <col collapsed="false" customWidth="true" hidden="false" outlineLevel="0" max="5643" min="5641" style="102" width="3.13"/>
    <col collapsed="false" customWidth="true" hidden="false" outlineLevel="0" max="5665" min="5644" style="102" width="2"/>
    <col collapsed="false" customWidth="false" hidden="false" outlineLevel="0" max="5847" min="5666" style="102" width="9.88"/>
    <col collapsed="false" customWidth="true" hidden="false" outlineLevel="0" max="5848" min="5848" style="102" width="5.88"/>
    <col collapsed="false" customWidth="true" hidden="false" outlineLevel="0" max="5849" min="5849" style="102" width="14.25"/>
    <col collapsed="false" customWidth="true" hidden="false" outlineLevel="0" max="5850" min="5850" style="102" width="16.63"/>
    <col collapsed="false" customWidth="true" hidden="false" outlineLevel="0" max="5851" min="5851" style="102" width="8.88"/>
    <col collapsed="false" customWidth="true" hidden="false" outlineLevel="0" max="5895" min="5852" style="102" width="4.13"/>
    <col collapsed="false" customWidth="true" hidden="false" outlineLevel="0" max="5896" min="5896" style="102" width="5.88"/>
    <col collapsed="false" customWidth="true" hidden="false" outlineLevel="0" max="5899" min="5897" style="102" width="3.13"/>
    <col collapsed="false" customWidth="true" hidden="false" outlineLevel="0" max="5921" min="5900" style="102" width="2"/>
    <col collapsed="false" customWidth="false" hidden="false" outlineLevel="0" max="6103" min="5922" style="102" width="9.88"/>
    <col collapsed="false" customWidth="true" hidden="false" outlineLevel="0" max="6104" min="6104" style="102" width="5.88"/>
    <col collapsed="false" customWidth="true" hidden="false" outlineLevel="0" max="6105" min="6105" style="102" width="14.25"/>
    <col collapsed="false" customWidth="true" hidden="false" outlineLevel="0" max="6106" min="6106" style="102" width="16.63"/>
    <col collapsed="false" customWidth="true" hidden="false" outlineLevel="0" max="6107" min="6107" style="102" width="8.88"/>
    <col collapsed="false" customWidth="true" hidden="false" outlineLevel="0" max="6151" min="6108" style="102" width="4.13"/>
    <col collapsed="false" customWidth="true" hidden="false" outlineLevel="0" max="6152" min="6152" style="102" width="5.88"/>
    <col collapsed="false" customWidth="true" hidden="false" outlineLevel="0" max="6155" min="6153" style="102" width="3.13"/>
    <col collapsed="false" customWidth="true" hidden="false" outlineLevel="0" max="6177" min="6156" style="102" width="2"/>
    <col collapsed="false" customWidth="false" hidden="false" outlineLevel="0" max="6359" min="6178" style="102" width="9.88"/>
    <col collapsed="false" customWidth="true" hidden="false" outlineLevel="0" max="6360" min="6360" style="102" width="5.88"/>
    <col collapsed="false" customWidth="true" hidden="false" outlineLevel="0" max="6361" min="6361" style="102" width="14.25"/>
    <col collapsed="false" customWidth="true" hidden="false" outlineLevel="0" max="6362" min="6362" style="102" width="16.63"/>
    <col collapsed="false" customWidth="true" hidden="false" outlineLevel="0" max="6363" min="6363" style="102" width="8.88"/>
    <col collapsed="false" customWidth="true" hidden="false" outlineLevel="0" max="6407" min="6364" style="102" width="4.13"/>
    <col collapsed="false" customWidth="true" hidden="false" outlineLevel="0" max="6408" min="6408" style="102" width="5.88"/>
    <col collapsed="false" customWidth="true" hidden="false" outlineLevel="0" max="6411" min="6409" style="102" width="3.13"/>
    <col collapsed="false" customWidth="true" hidden="false" outlineLevel="0" max="6433" min="6412" style="102" width="2"/>
    <col collapsed="false" customWidth="false" hidden="false" outlineLevel="0" max="6615" min="6434" style="102" width="9.88"/>
    <col collapsed="false" customWidth="true" hidden="false" outlineLevel="0" max="6616" min="6616" style="102" width="5.88"/>
    <col collapsed="false" customWidth="true" hidden="false" outlineLevel="0" max="6617" min="6617" style="102" width="14.25"/>
    <col collapsed="false" customWidth="true" hidden="false" outlineLevel="0" max="6618" min="6618" style="102" width="16.63"/>
    <col collapsed="false" customWidth="true" hidden="false" outlineLevel="0" max="6619" min="6619" style="102" width="8.88"/>
    <col collapsed="false" customWidth="true" hidden="false" outlineLevel="0" max="6663" min="6620" style="102" width="4.13"/>
    <col collapsed="false" customWidth="true" hidden="false" outlineLevel="0" max="6664" min="6664" style="102" width="5.88"/>
    <col collapsed="false" customWidth="true" hidden="false" outlineLevel="0" max="6667" min="6665" style="102" width="3.13"/>
    <col collapsed="false" customWidth="true" hidden="false" outlineLevel="0" max="6689" min="6668" style="102" width="2"/>
    <col collapsed="false" customWidth="false" hidden="false" outlineLevel="0" max="6871" min="6690" style="102" width="9.88"/>
    <col collapsed="false" customWidth="true" hidden="false" outlineLevel="0" max="6872" min="6872" style="102" width="5.88"/>
    <col collapsed="false" customWidth="true" hidden="false" outlineLevel="0" max="6873" min="6873" style="102" width="14.25"/>
    <col collapsed="false" customWidth="true" hidden="false" outlineLevel="0" max="6874" min="6874" style="102" width="16.63"/>
    <col collapsed="false" customWidth="true" hidden="false" outlineLevel="0" max="6875" min="6875" style="102" width="8.88"/>
    <col collapsed="false" customWidth="true" hidden="false" outlineLevel="0" max="6919" min="6876" style="102" width="4.13"/>
    <col collapsed="false" customWidth="true" hidden="false" outlineLevel="0" max="6920" min="6920" style="102" width="5.88"/>
    <col collapsed="false" customWidth="true" hidden="false" outlineLevel="0" max="6923" min="6921" style="102" width="3.13"/>
    <col collapsed="false" customWidth="true" hidden="false" outlineLevel="0" max="6945" min="6924" style="102" width="2"/>
    <col collapsed="false" customWidth="false" hidden="false" outlineLevel="0" max="7127" min="6946" style="102" width="9.88"/>
    <col collapsed="false" customWidth="true" hidden="false" outlineLevel="0" max="7128" min="7128" style="102" width="5.88"/>
    <col collapsed="false" customWidth="true" hidden="false" outlineLevel="0" max="7129" min="7129" style="102" width="14.25"/>
    <col collapsed="false" customWidth="true" hidden="false" outlineLevel="0" max="7130" min="7130" style="102" width="16.63"/>
    <col collapsed="false" customWidth="true" hidden="false" outlineLevel="0" max="7131" min="7131" style="102" width="8.88"/>
    <col collapsed="false" customWidth="true" hidden="false" outlineLevel="0" max="7175" min="7132" style="102" width="4.13"/>
    <col collapsed="false" customWidth="true" hidden="false" outlineLevel="0" max="7176" min="7176" style="102" width="5.88"/>
    <col collapsed="false" customWidth="true" hidden="false" outlineLevel="0" max="7179" min="7177" style="102" width="3.13"/>
    <col collapsed="false" customWidth="true" hidden="false" outlineLevel="0" max="7201" min="7180" style="102" width="2"/>
    <col collapsed="false" customWidth="false" hidden="false" outlineLevel="0" max="7383" min="7202" style="102" width="9.88"/>
    <col collapsed="false" customWidth="true" hidden="false" outlineLevel="0" max="7384" min="7384" style="102" width="5.88"/>
    <col collapsed="false" customWidth="true" hidden="false" outlineLevel="0" max="7385" min="7385" style="102" width="14.25"/>
    <col collapsed="false" customWidth="true" hidden="false" outlineLevel="0" max="7386" min="7386" style="102" width="16.63"/>
    <col collapsed="false" customWidth="true" hidden="false" outlineLevel="0" max="7387" min="7387" style="102" width="8.88"/>
    <col collapsed="false" customWidth="true" hidden="false" outlineLevel="0" max="7431" min="7388" style="102" width="4.13"/>
    <col collapsed="false" customWidth="true" hidden="false" outlineLevel="0" max="7432" min="7432" style="102" width="5.88"/>
    <col collapsed="false" customWidth="true" hidden="false" outlineLevel="0" max="7435" min="7433" style="102" width="3.13"/>
    <col collapsed="false" customWidth="true" hidden="false" outlineLevel="0" max="7457" min="7436" style="102" width="2"/>
    <col collapsed="false" customWidth="false" hidden="false" outlineLevel="0" max="7639" min="7458" style="102" width="9.88"/>
    <col collapsed="false" customWidth="true" hidden="false" outlineLevel="0" max="7640" min="7640" style="102" width="5.88"/>
    <col collapsed="false" customWidth="true" hidden="false" outlineLevel="0" max="7641" min="7641" style="102" width="14.25"/>
    <col collapsed="false" customWidth="true" hidden="false" outlineLevel="0" max="7642" min="7642" style="102" width="16.63"/>
    <col collapsed="false" customWidth="true" hidden="false" outlineLevel="0" max="7643" min="7643" style="102" width="8.88"/>
    <col collapsed="false" customWidth="true" hidden="false" outlineLevel="0" max="7687" min="7644" style="102" width="4.13"/>
    <col collapsed="false" customWidth="true" hidden="false" outlineLevel="0" max="7688" min="7688" style="102" width="5.88"/>
    <col collapsed="false" customWidth="true" hidden="false" outlineLevel="0" max="7691" min="7689" style="102" width="3.13"/>
    <col collapsed="false" customWidth="true" hidden="false" outlineLevel="0" max="7713" min="7692" style="102" width="2"/>
    <col collapsed="false" customWidth="false" hidden="false" outlineLevel="0" max="7895" min="7714" style="102" width="9.88"/>
    <col collapsed="false" customWidth="true" hidden="false" outlineLevel="0" max="7896" min="7896" style="102" width="5.88"/>
    <col collapsed="false" customWidth="true" hidden="false" outlineLevel="0" max="7897" min="7897" style="102" width="14.25"/>
    <col collapsed="false" customWidth="true" hidden="false" outlineLevel="0" max="7898" min="7898" style="102" width="16.63"/>
    <col collapsed="false" customWidth="true" hidden="false" outlineLevel="0" max="7899" min="7899" style="102" width="8.88"/>
    <col collapsed="false" customWidth="true" hidden="false" outlineLevel="0" max="7943" min="7900" style="102" width="4.13"/>
    <col collapsed="false" customWidth="true" hidden="false" outlineLevel="0" max="7944" min="7944" style="102" width="5.88"/>
    <col collapsed="false" customWidth="true" hidden="false" outlineLevel="0" max="7947" min="7945" style="102" width="3.13"/>
    <col collapsed="false" customWidth="true" hidden="false" outlineLevel="0" max="7969" min="7948" style="102" width="2"/>
    <col collapsed="false" customWidth="false" hidden="false" outlineLevel="0" max="8151" min="7970" style="102" width="9.88"/>
    <col collapsed="false" customWidth="true" hidden="false" outlineLevel="0" max="8152" min="8152" style="102" width="5.88"/>
    <col collapsed="false" customWidth="true" hidden="false" outlineLevel="0" max="8153" min="8153" style="102" width="14.25"/>
    <col collapsed="false" customWidth="true" hidden="false" outlineLevel="0" max="8154" min="8154" style="102" width="16.63"/>
    <col collapsed="false" customWidth="true" hidden="false" outlineLevel="0" max="8155" min="8155" style="102" width="8.88"/>
    <col collapsed="false" customWidth="true" hidden="false" outlineLevel="0" max="8199" min="8156" style="102" width="4.13"/>
    <col collapsed="false" customWidth="true" hidden="false" outlineLevel="0" max="8200" min="8200" style="102" width="5.88"/>
    <col collapsed="false" customWidth="true" hidden="false" outlineLevel="0" max="8203" min="8201" style="102" width="3.13"/>
    <col collapsed="false" customWidth="true" hidden="false" outlineLevel="0" max="8225" min="8204" style="102" width="2"/>
    <col collapsed="false" customWidth="false" hidden="false" outlineLevel="0" max="8407" min="8226" style="102" width="9.88"/>
    <col collapsed="false" customWidth="true" hidden="false" outlineLevel="0" max="8408" min="8408" style="102" width="5.88"/>
    <col collapsed="false" customWidth="true" hidden="false" outlineLevel="0" max="8409" min="8409" style="102" width="14.25"/>
    <col collapsed="false" customWidth="true" hidden="false" outlineLevel="0" max="8410" min="8410" style="102" width="16.63"/>
    <col collapsed="false" customWidth="true" hidden="false" outlineLevel="0" max="8411" min="8411" style="102" width="8.88"/>
    <col collapsed="false" customWidth="true" hidden="false" outlineLevel="0" max="8455" min="8412" style="102" width="4.13"/>
    <col collapsed="false" customWidth="true" hidden="false" outlineLevel="0" max="8456" min="8456" style="102" width="5.88"/>
    <col collapsed="false" customWidth="true" hidden="false" outlineLevel="0" max="8459" min="8457" style="102" width="3.13"/>
    <col collapsed="false" customWidth="true" hidden="false" outlineLevel="0" max="8481" min="8460" style="102" width="2"/>
    <col collapsed="false" customWidth="false" hidden="false" outlineLevel="0" max="8663" min="8482" style="102" width="9.88"/>
    <col collapsed="false" customWidth="true" hidden="false" outlineLevel="0" max="8664" min="8664" style="102" width="5.88"/>
    <col collapsed="false" customWidth="true" hidden="false" outlineLevel="0" max="8665" min="8665" style="102" width="14.25"/>
    <col collapsed="false" customWidth="true" hidden="false" outlineLevel="0" max="8666" min="8666" style="102" width="16.63"/>
    <col collapsed="false" customWidth="true" hidden="false" outlineLevel="0" max="8667" min="8667" style="102" width="8.88"/>
    <col collapsed="false" customWidth="true" hidden="false" outlineLevel="0" max="8711" min="8668" style="102" width="4.13"/>
    <col collapsed="false" customWidth="true" hidden="false" outlineLevel="0" max="8712" min="8712" style="102" width="5.88"/>
    <col collapsed="false" customWidth="true" hidden="false" outlineLevel="0" max="8715" min="8713" style="102" width="3.13"/>
    <col collapsed="false" customWidth="true" hidden="false" outlineLevel="0" max="8737" min="8716" style="102" width="2"/>
    <col collapsed="false" customWidth="false" hidden="false" outlineLevel="0" max="8919" min="8738" style="102" width="9.88"/>
    <col collapsed="false" customWidth="true" hidden="false" outlineLevel="0" max="8920" min="8920" style="102" width="5.88"/>
    <col collapsed="false" customWidth="true" hidden="false" outlineLevel="0" max="8921" min="8921" style="102" width="14.25"/>
    <col collapsed="false" customWidth="true" hidden="false" outlineLevel="0" max="8922" min="8922" style="102" width="16.63"/>
    <col collapsed="false" customWidth="true" hidden="false" outlineLevel="0" max="8923" min="8923" style="102" width="8.88"/>
    <col collapsed="false" customWidth="true" hidden="false" outlineLevel="0" max="8967" min="8924" style="102" width="4.13"/>
    <col collapsed="false" customWidth="true" hidden="false" outlineLevel="0" max="8968" min="8968" style="102" width="5.88"/>
    <col collapsed="false" customWidth="true" hidden="false" outlineLevel="0" max="8971" min="8969" style="102" width="3.13"/>
    <col collapsed="false" customWidth="true" hidden="false" outlineLevel="0" max="8993" min="8972" style="102" width="2"/>
    <col collapsed="false" customWidth="false" hidden="false" outlineLevel="0" max="9175" min="8994" style="102" width="9.88"/>
    <col collapsed="false" customWidth="true" hidden="false" outlineLevel="0" max="9176" min="9176" style="102" width="5.88"/>
    <col collapsed="false" customWidth="true" hidden="false" outlineLevel="0" max="9177" min="9177" style="102" width="14.25"/>
    <col collapsed="false" customWidth="true" hidden="false" outlineLevel="0" max="9178" min="9178" style="102" width="16.63"/>
    <col collapsed="false" customWidth="true" hidden="false" outlineLevel="0" max="9179" min="9179" style="102" width="8.88"/>
    <col collapsed="false" customWidth="true" hidden="false" outlineLevel="0" max="9223" min="9180" style="102" width="4.13"/>
    <col collapsed="false" customWidth="true" hidden="false" outlineLevel="0" max="9224" min="9224" style="102" width="5.88"/>
    <col collapsed="false" customWidth="true" hidden="false" outlineLevel="0" max="9227" min="9225" style="102" width="3.13"/>
    <col collapsed="false" customWidth="true" hidden="false" outlineLevel="0" max="9249" min="9228" style="102" width="2"/>
    <col collapsed="false" customWidth="false" hidden="false" outlineLevel="0" max="9431" min="9250" style="102" width="9.88"/>
    <col collapsed="false" customWidth="true" hidden="false" outlineLevel="0" max="9432" min="9432" style="102" width="5.88"/>
    <col collapsed="false" customWidth="true" hidden="false" outlineLevel="0" max="9433" min="9433" style="102" width="14.25"/>
    <col collapsed="false" customWidth="true" hidden="false" outlineLevel="0" max="9434" min="9434" style="102" width="16.63"/>
    <col collapsed="false" customWidth="true" hidden="false" outlineLevel="0" max="9435" min="9435" style="102" width="8.88"/>
    <col collapsed="false" customWidth="true" hidden="false" outlineLevel="0" max="9479" min="9436" style="102" width="4.13"/>
    <col collapsed="false" customWidth="true" hidden="false" outlineLevel="0" max="9480" min="9480" style="102" width="5.88"/>
    <col collapsed="false" customWidth="true" hidden="false" outlineLevel="0" max="9483" min="9481" style="102" width="3.13"/>
    <col collapsed="false" customWidth="true" hidden="false" outlineLevel="0" max="9505" min="9484" style="102" width="2"/>
    <col collapsed="false" customWidth="false" hidden="false" outlineLevel="0" max="9687" min="9506" style="102" width="9.88"/>
    <col collapsed="false" customWidth="true" hidden="false" outlineLevel="0" max="9688" min="9688" style="102" width="5.88"/>
    <col collapsed="false" customWidth="true" hidden="false" outlineLevel="0" max="9689" min="9689" style="102" width="14.25"/>
    <col collapsed="false" customWidth="true" hidden="false" outlineLevel="0" max="9690" min="9690" style="102" width="16.63"/>
    <col collapsed="false" customWidth="true" hidden="false" outlineLevel="0" max="9691" min="9691" style="102" width="8.88"/>
    <col collapsed="false" customWidth="true" hidden="false" outlineLevel="0" max="9735" min="9692" style="102" width="4.13"/>
    <col collapsed="false" customWidth="true" hidden="false" outlineLevel="0" max="9736" min="9736" style="102" width="5.88"/>
    <col collapsed="false" customWidth="true" hidden="false" outlineLevel="0" max="9739" min="9737" style="102" width="3.13"/>
    <col collapsed="false" customWidth="true" hidden="false" outlineLevel="0" max="9761" min="9740" style="102" width="2"/>
    <col collapsed="false" customWidth="false" hidden="false" outlineLevel="0" max="9943" min="9762" style="102" width="9.88"/>
    <col collapsed="false" customWidth="true" hidden="false" outlineLevel="0" max="9944" min="9944" style="102" width="5.88"/>
    <col collapsed="false" customWidth="true" hidden="false" outlineLevel="0" max="9945" min="9945" style="102" width="14.25"/>
    <col collapsed="false" customWidth="true" hidden="false" outlineLevel="0" max="9946" min="9946" style="102" width="16.63"/>
    <col collapsed="false" customWidth="true" hidden="false" outlineLevel="0" max="9947" min="9947" style="102" width="8.88"/>
    <col collapsed="false" customWidth="true" hidden="false" outlineLevel="0" max="9991" min="9948" style="102" width="4.13"/>
    <col collapsed="false" customWidth="true" hidden="false" outlineLevel="0" max="9992" min="9992" style="102" width="5.88"/>
    <col collapsed="false" customWidth="true" hidden="false" outlineLevel="0" max="9995" min="9993" style="102" width="3.13"/>
    <col collapsed="false" customWidth="true" hidden="false" outlineLevel="0" max="10017" min="9996" style="102" width="2"/>
    <col collapsed="false" customWidth="false" hidden="false" outlineLevel="0" max="10199" min="10018" style="102" width="9.88"/>
    <col collapsed="false" customWidth="true" hidden="false" outlineLevel="0" max="10200" min="10200" style="102" width="5.88"/>
    <col collapsed="false" customWidth="true" hidden="false" outlineLevel="0" max="10201" min="10201" style="102" width="14.25"/>
    <col collapsed="false" customWidth="true" hidden="false" outlineLevel="0" max="10202" min="10202" style="102" width="16.63"/>
    <col collapsed="false" customWidth="true" hidden="false" outlineLevel="0" max="10203" min="10203" style="102" width="8.88"/>
    <col collapsed="false" customWidth="true" hidden="false" outlineLevel="0" max="10247" min="10204" style="102" width="4.13"/>
    <col collapsed="false" customWidth="true" hidden="false" outlineLevel="0" max="10248" min="10248" style="102" width="5.88"/>
    <col collapsed="false" customWidth="true" hidden="false" outlineLevel="0" max="10251" min="10249" style="102" width="3.13"/>
    <col collapsed="false" customWidth="true" hidden="false" outlineLevel="0" max="10273" min="10252" style="102" width="2"/>
    <col collapsed="false" customWidth="false" hidden="false" outlineLevel="0" max="10455" min="10274" style="102" width="9.88"/>
    <col collapsed="false" customWidth="true" hidden="false" outlineLevel="0" max="10456" min="10456" style="102" width="5.88"/>
    <col collapsed="false" customWidth="true" hidden="false" outlineLevel="0" max="10457" min="10457" style="102" width="14.25"/>
    <col collapsed="false" customWidth="true" hidden="false" outlineLevel="0" max="10458" min="10458" style="102" width="16.63"/>
    <col collapsed="false" customWidth="true" hidden="false" outlineLevel="0" max="10459" min="10459" style="102" width="8.88"/>
    <col collapsed="false" customWidth="true" hidden="false" outlineLevel="0" max="10503" min="10460" style="102" width="4.13"/>
    <col collapsed="false" customWidth="true" hidden="false" outlineLevel="0" max="10504" min="10504" style="102" width="5.88"/>
    <col collapsed="false" customWidth="true" hidden="false" outlineLevel="0" max="10507" min="10505" style="102" width="3.13"/>
    <col collapsed="false" customWidth="true" hidden="false" outlineLevel="0" max="10529" min="10508" style="102" width="2"/>
    <col collapsed="false" customWidth="false" hidden="false" outlineLevel="0" max="10711" min="10530" style="102" width="9.88"/>
    <col collapsed="false" customWidth="true" hidden="false" outlineLevel="0" max="10712" min="10712" style="102" width="5.88"/>
    <col collapsed="false" customWidth="true" hidden="false" outlineLevel="0" max="10713" min="10713" style="102" width="14.25"/>
    <col collapsed="false" customWidth="true" hidden="false" outlineLevel="0" max="10714" min="10714" style="102" width="16.63"/>
    <col collapsed="false" customWidth="true" hidden="false" outlineLevel="0" max="10715" min="10715" style="102" width="8.88"/>
    <col collapsed="false" customWidth="true" hidden="false" outlineLevel="0" max="10759" min="10716" style="102" width="4.13"/>
    <col collapsed="false" customWidth="true" hidden="false" outlineLevel="0" max="10760" min="10760" style="102" width="5.88"/>
    <col collapsed="false" customWidth="true" hidden="false" outlineLevel="0" max="10763" min="10761" style="102" width="3.13"/>
    <col collapsed="false" customWidth="true" hidden="false" outlineLevel="0" max="10785" min="10764" style="102" width="2"/>
    <col collapsed="false" customWidth="false" hidden="false" outlineLevel="0" max="10967" min="10786" style="102" width="9.88"/>
    <col collapsed="false" customWidth="true" hidden="false" outlineLevel="0" max="10968" min="10968" style="102" width="5.88"/>
    <col collapsed="false" customWidth="true" hidden="false" outlineLevel="0" max="10969" min="10969" style="102" width="14.25"/>
    <col collapsed="false" customWidth="true" hidden="false" outlineLevel="0" max="10970" min="10970" style="102" width="16.63"/>
    <col collapsed="false" customWidth="true" hidden="false" outlineLevel="0" max="10971" min="10971" style="102" width="8.88"/>
    <col collapsed="false" customWidth="true" hidden="false" outlineLevel="0" max="11015" min="10972" style="102" width="4.13"/>
    <col collapsed="false" customWidth="true" hidden="false" outlineLevel="0" max="11016" min="11016" style="102" width="5.88"/>
    <col collapsed="false" customWidth="true" hidden="false" outlineLevel="0" max="11019" min="11017" style="102" width="3.13"/>
    <col collapsed="false" customWidth="true" hidden="false" outlineLevel="0" max="11041" min="11020" style="102" width="2"/>
    <col collapsed="false" customWidth="false" hidden="false" outlineLevel="0" max="11223" min="11042" style="102" width="9.88"/>
    <col collapsed="false" customWidth="true" hidden="false" outlineLevel="0" max="11224" min="11224" style="102" width="5.88"/>
    <col collapsed="false" customWidth="true" hidden="false" outlineLevel="0" max="11225" min="11225" style="102" width="14.25"/>
    <col collapsed="false" customWidth="true" hidden="false" outlineLevel="0" max="11226" min="11226" style="102" width="16.63"/>
    <col collapsed="false" customWidth="true" hidden="false" outlineLevel="0" max="11227" min="11227" style="102" width="8.88"/>
    <col collapsed="false" customWidth="true" hidden="false" outlineLevel="0" max="11271" min="11228" style="102" width="4.13"/>
    <col collapsed="false" customWidth="true" hidden="false" outlineLevel="0" max="11272" min="11272" style="102" width="5.88"/>
    <col collapsed="false" customWidth="true" hidden="false" outlineLevel="0" max="11275" min="11273" style="102" width="3.13"/>
    <col collapsed="false" customWidth="true" hidden="false" outlineLevel="0" max="11297" min="11276" style="102" width="2"/>
    <col collapsed="false" customWidth="false" hidden="false" outlineLevel="0" max="11479" min="11298" style="102" width="9.88"/>
    <col collapsed="false" customWidth="true" hidden="false" outlineLevel="0" max="11480" min="11480" style="102" width="5.88"/>
    <col collapsed="false" customWidth="true" hidden="false" outlineLevel="0" max="11481" min="11481" style="102" width="14.25"/>
    <col collapsed="false" customWidth="true" hidden="false" outlineLevel="0" max="11482" min="11482" style="102" width="16.63"/>
    <col collapsed="false" customWidth="true" hidden="false" outlineLevel="0" max="11483" min="11483" style="102" width="8.88"/>
    <col collapsed="false" customWidth="true" hidden="false" outlineLevel="0" max="11527" min="11484" style="102" width="4.13"/>
    <col collapsed="false" customWidth="true" hidden="false" outlineLevel="0" max="11528" min="11528" style="102" width="5.88"/>
    <col collapsed="false" customWidth="true" hidden="false" outlineLevel="0" max="11531" min="11529" style="102" width="3.13"/>
    <col collapsed="false" customWidth="true" hidden="false" outlineLevel="0" max="11553" min="11532" style="102" width="2"/>
    <col collapsed="false" customWidth="false" hidden="false" outlineLevel="0" max="11735" min="11554" style="102" width="9.88"/>
    <col collapsed="false" customWidth="true" hidden="false" outlineLevel="0" max="11736" min="11736" style="102" width="5.88"/>
    <col collapsed="false" customWidth="true" hidden="false" outlineLevel="0" max="11737" min="11737" style="102" width="14.25"/>
    <col collapsed="false" customWidth="true" hidden="false" outlineLevel="0" max="11738" min="11738" style="102" width="16.63"/>
    <col collapsed="false" customWidth="true" hidden="false" outlineLevel="0" max="11739" min="11739" style="102" width="8.88"/>
    <col collapsed="false" customWidth="true" hidden="false" outlineLevel="0" max="11783" min="11740" style="102" width="4.13"/>
    <col collapsed="false" customWidth="true" hidden="false" outlineLevel="0" max="11784" min="11784" style="102" width="5.88"/>
    <col collapsed="false" customWidth="true" hidden="false" outlineLevel="0" max="11787" min="11785" style="102" width="3.13"/>
    <col collapsed="false" customWidth="true" hidden="false" outlineLevel="0" max="11809" min="11788" style="102" width="2"/>
    <col collapsed="false" customWidth="false" hidden="false" outlineLevel="0" max="11991" min="11810" style="102" width="9.88"/>
    <col collapsed="false" customWidth="true" hidden="false" outlineLevel="0" max="11992" min="11992" style="102" width="5.88"/>
    <col collapsed="false" customWidth="true" hidden="false" outlineLevel="0" max="11993" min="11993" style="102" width="14.25"/>
    <col collapsed="false" customWidth="true" hidden="false" outlineLevel="0" max="11994" min="11994" style="102" width="16.63"/>
    <col collapsed="false" customWidth="true" hidden="false" outlineLevel="0" max="11995" min="11995" style="102" width="8.88"/>
    <col collapsed="false" customWidth="true" hidden="false" outlineLevel="0" max="12039" min="11996" style="102" width="4.13"/>
    <col collapsed="false" customWidth="true" hidden="false" outlineLevel="0" max="12040" min="12040" style="102" width="5.88"/>
    <col collapsed="false" customWidth="true" hidden="false" outlineLevel="0" max="12043" min="12041" style="102" width="3.13"/>
    <col collapsed="false" customWidth="true" hidden="false" outlineLevel="0" max="12065" min="12044" style="102" width="2"/>
    <col collapsed="false" customWidth="false" hidden="false" outlineLevel="0" max="12247" min="12066" style="102" width="9.88"/>
    <col collapsed="false" customWidth="true" hidden="false" outlineLevel="0" max="12248" min="12248" style="102" width="5.88"/>
    <col collapsed="false" customWidth="true" hidden="false" outlineLevel="0" max="12249" min="12249" style="102" width="14.25"/>
    <col collapsed="false" customWidth="true" hidden="false" outlineLevel="0" max="12250" min="12250" style="102" width="16.63"/>
    <col collapsed="false" customWidth="true" hidden="false" outlineLevel="0" max="12251" min="12251" style="102" width="8.88"/>
    <col collapsed="false" customWidth="true" hidden="false" outlineLevel="0" max="12295" min="12252" style="102" width="4.13"/>
    <col collapsed="false" customWidth="true" hidden="false" outlineLevel="0" max="12296" min="12296" style="102" width="5.88"/>
    <col collapsed="false" customWidth="true" hidden="false" outlineLevel="0" max="12299" min="12297" style="102" width="3.13"/>
    <col collapsed="false" customWidth="true" hidden="false" outlineLevel="0" max="12321" min="12300" style="102" width="2"/>
    <col collapsed="false" customWidth="false" hidden="false" outlineLevel="0" max="12503" min="12322" style="102" width="9.88"/>
    <col collapsed="false" customWidth="true" hidden="false" outlineLevel="0" max="12504" min="12504" style="102" width="5.88"/>
    <col collapsed="false" customWidth="true" hidden="false" outlineLevel="0" max="12505" min="12505" style="102" width="14.25"/>
    <col collapsed="false" customWidth="true" hidden="false" outlineLevel="0" max="12506" min="12506" style="102" width="16.63"/>
    <col collapsed="false" customWidth="true" hidden="false" outlineLevel="0" max="12507" min="12507" style="102" width="8.88"/>
    <col collapsed="false" customWidth="true" hidden="false" outlineLevel="0" max="12551" min="12508" style="102" width="4.13"/>
    <col collapsed="false" customWidth="true" hidden="false" outlineLevel="0" max="12552" min="12552" style="102" width="5.88"/>
    <col collapsed="false" customWidth="true" hidden="false" outlineLevel="0" max="12555" min="12553" style="102" width="3.13"/>
    <col collapsed="false" customWidth="true" hidden="false" outlineLevel="0" max="12577" min="12556" style="102" width="2"/>
    <col collapsed="false" customWidth="false" hidden="false" outlineLevel="0" max="12759" min="12578" style="102" width="9.88"/>
    <col collapsed="false" customWidth="true" hidden="false" outlineLevel="0" max="12760" min="12760" style="102" width="5.88"/>
    <col collapsed="false" customWidth="true" hidden="false" outlineLevel="0" max="12761" min="12761" style="102" width="14.25"/>
    <col collapsed="false" customWidth="true" hidden="false" outlineLevel="0" max="12762" min="12762" style="102" width="16.63"/>
    <col collapsed="false" customWidth="true" hidden="false" outlineLevel="0" max="12763" min="12763" style="102" width="8.88"/>
    <col collapsed="false" customWidth="true" hidden="false" outlineLevel="0" max="12807" min="12764" style="102" width="4.13"/>
    <col collapsed="false" customWidth="true" hidden="false" outlineLevel="0" max="12808" min="12808" style="102" width="5.88"/>
    <col collapsed="false" customWidth="true" hidden="false" outlineLevel="0" max="12811" min="12809" style="102" width="3.13"/>
    <col collapsed="false" customWidth="true" hidden="false" outlineLevel="0" max="12833" min="12812" style="102" width="2"/>
    <col collapsed="false" customWidth="false" hidden="false" outlineLevel="0" max="13015" min="12834" style="102" width="9.88"/>
    <col collapsed="false" customWidth="true" hidden="false" outlineLevel="0" max="13016" min="13016" style="102" width="5.88"/>
    <col collapsed="false" customWidth="true" hidden="false" outlineLevel="0" max="13017" min="13017" style="102" width="14.25"/>
    <col collapsed="false" customWidth="true" hidden="false" outlineLevel="0" max="13018" min="13018" style="102" width="16.63"/>
    <col collapsed="false" customWidth="true" hidden="false" outlineLevel="0" max="13019" min="13019" style="102" width="8.88"/>
    <col collapsed="false" customWidth="true" hidden="false" outlineLevel="0" max="13063" min="13020" style="102" width="4.13"/>
    <col collapsed="false" customWidth="true" hidden="false" outlineLevel="0" max="13064" min="13064" style="102" width="5.88"/>
    <col collapsed="false" customWidth="true" hidden="false" outlineLevel="0" max="13067" min="13065" style="102" width="3.13"/>
    <col collapsed="false" customWidth="true" hidden="false" outlineLevel="0" max="13089" min="13068" style="102" width="2"/>
    <col collapsed="false" customWidth="false" hidden="false" outlineLevel="0" max="13271" min="13090" style="102" width="9.88"/>
    <col collapsed="false" customWidth="true" hidden="false" outlineLevel="0" max="13272" min="13272" style="102" width="5.88"/>
    <col collapsed="false" customWidth="true" hidden="false" outlineLevel="0" max="13273" min="13273" style="102" width="14.25"/>
    <col collapsed="false" customWidth="true" hidden="false" outlineLevel="0" max="13274" min="13274" style="102" width="16.63"/>
    <col collapsed="false" customWidth="true" hidden="false" outlineLevel="0" max="13275" min="13275" style="102" width="8.88"/>
    <col collapsed="false" customWidth="true" hidden="false" outlineLevel="0" max="13319" min="13276" style="102" width="4.13"/>
    <col collapsed="false" customWidth="true" hidden="false" outlineLevel="0" max="13320" min="13320" style="102" width="5.88"/>
    <col collapsed="false" customWidth="true" hidden="false" outlineLevel="0" max="13323" min="13321" style="102" width="3.13"/>
    <col collapsed="false" customWidth="true" hidden="false" outlineLevel="0" max="13345" min="13324" style="102" width="2"/>
    <col collapsed="false" customWidth="false" hidden="false" outlineLevel="0" max="13527" min="13346" style="102" width="9.88"/>
    <col collapsed="false" customWidth="true" hidden="false" outlineLevel="0" max="13528" min="13528" style="102" width="5.88"/>
    <col collapsed="false" customWidth="true" hidden="false" outlineLevel="0" max="13529" min="13529" style="102" width="14.25"/>
    <col collapsed="false" customWidth="true" hidden="false" outlineLevel="0" max="13530" min="13530" style="102" width="16.63"/>
    <col collapsed="false" customWidth="true" hidden="false" outlineLevel="0" max="13531" min="13531" style="102" width="8.88"/>
    <col collapsed="false" customWidth="true" hidden="false" outlineLevel="0" max="13575" min="13532" style="102" width="4.13"/>
    <col collapsed="false" customWidth="true" hidden="false" outlineLevel="0" max="13576" min="13576" style="102" width="5.88"/>
    <col collapsed="false" customWidth="true" hidden="false" outlineLevel="0" max="13579" min="13577" style="102" width="3.13"/>
    <col collapsed="false" customWidth="true" hidden="false" outlineLevel="0" max="13601" min="13580" style="102" width="2"/>
    <col collapsed="false" customWidth="false" hidden="false" outlineLevel="0" max="13783" min="13602" style="102" width="9.88"/>
    <col collapsed="false" customWidth="true" hidden="false" outlineLevel="0" max="13784" min="13784" style="102" width="5.88"/>
    <col collapsed="false" customWidth="true" hidden="false" outlineLevel="0" max="13785" min="13785" style="102" width="14.25"/>
    <col collapsed="false" customWidth="true" hidden="false" outlineLevel="0" max="13786" min="13786" style="102" width="16.63"/>
    <col collapsed="false" customWidth="true" hidden="false" outlineLevel="0" max="13787" min="13787" style="102" width="8.88"/>
    <col collapsed="false" customWidth="true" hidden="false" outlineLevel="0" max="13831" min="13788" style="102" width="4.13"/>
    <col collapsed="false" customWidth="true" hidden="false" outlineLevel="0" max="13832" min="13832" style="102" width="5.88"/>
    <col collapsed="false" customWidth="true" hidden="false" outlineLevel="0" max="13835" min="13833" style="102" width="3.13"/>
    <col collapsed="false" customWidth="true" hidden="false" outlineLevel="0" max="13857" min="13836" style="102" width="2"/>
    <col collapsed="false" customWidth="false" hidden="false" outlineLevel="0" max="14039" min="13858" style="102" width="9.88"/>
    <col collapsed="false" customWidth="true" hidden="false" outlineLevel="0" max="14040" min="14040" style="102" width="5.88"/>
    <col collapsed="false" customWidth="true" hidden="false" outlineLevel="0" max="14041" min="14041" style="102" width="14.25"/>
    <col collapsed="false" customWidth="true" hidden="false" outlineLevel="0" max="14042" min="14042" style="102" width="16.63"/>
    <col collapsed="false" customWidth="true" hidden="false" outlineLevel="0" max="14043" min="14043" style="102" width="8.88"/>
    <col collapsed="false" customWidth="true" hidden="false" outlineLevel="0" max="14087" min="14044" style="102" width="4.13"/>
    <col collapsed="false" customWidth="true" hidden="false" outlineLevel="0" max="14088" min="14088" style="102" width="5.88"/>
    <col collapsed="false" customWidth="true" hidden="false" outlineLevel="0" max="14091" min="14089" style="102" width="3.13"/>
    <col collapsed="false" customWidth="true" hidden="false" outlineLevel="0" max="14113" min="14092" style="102" width="2"/>
    <col collapsed="false" customWidth="false" hidden="false" outlineLevel="0" max="14295" min="14114" style="102" width="9.88"/>
    <col collapsed="false" customWidth="true" hidden="false" outlineLevel="0" max="14296" min="14296" style="102" width="5.88"/>
    <col collapsed="false" customWidth="true" hidden="false" outlineLevel="0" max="14297" min="14297" style="102" width="14.25"/>
    <col collapsed="false" customWidth="true" hidden="false" outlineLevel="0" max="14298" min="14298" style="102" width="16.63"/>
    <col collapsed="false" customWidth="true" hidden="false" outlineLevel="0" max="14299" min="14299" style="102" width="8.88"/>
    <col collapsed="false" customWidth="true" hidden="false" outlineLevel="0" max="14343" min="14300" style="102" width="4.13"/>
    <col collapsed="false" customWidth="true" hidden="false" outlineLevel="0" max="14344" min="14344" style="102" width="5.88"/>
    <col collapsed="false" customWidth="true" hidden="false" outlineLevel="0" max="14347" min="14345" style="102" width="3.13"/>
    <col collapsed="false" customWidth="true" hidden="false" outlineLevel="0" max="14369" min="14348" style="102" width="2"/>
    <col collapsed="false" customWidth="false" hidden="false" outlineLevel="0" max="14551" min="14370" style="102" width="9.88"/>
    <col collapsed="false" customWidth="true" hidden="false" outlineLevel="0" max="14552" min="14552" style="102" width="5.88"/>
    <col collapsed="false" customWidth="true" hidden="false" outlineLevel="0" max="14553" min="14553" style="102" width="14.25"/>
    <col collapsed="false" customWidth="true" hidden="false" outlineLevel="0" max="14554" min="14554" style="102" width="16.63"/>
    <col collapsed="false" customWidth="true" hidden="false" outlineLevel="0" max="14555" min="14555" style="102" width="8.88"/>
    <col collapsed="false" customWidth="true" hidden="false" outlineLevel="0" max="14599" min="14556" style="102" width="4.13"/>
    <col collapsed="false" customWidth="true" hidden="false" outlineLevel="0" max="14600" min="14600" style="102" width="5.88"/>
    <col collapsed="false" customWidth="true" hidden="false" outlineLevel="0" max="14603" min="14601" style="102" width="3.13"/>
    <col collapsed="false" customWidth="true" hidden="false" outlineLevel="0" max="14625" min="14604" style="102" width="2"/>
    <col collapsed="false" customWidth="false" hidden="false" outlineLevel="0" max="14807" min="14626" style="102" width="9.88"/>
    <col collapsed="false" customWidth="true" hidden="false" outlineLevel="0" max="14808" min="14808" style="102" width="5.88"/>
    <col collapsed="false" customWidth="true" hidden="false" outlineLevel="0" max="14809" min="14809" style="102" width="14.25"/>
    <col collapsed="false" customWidth="true" hidden="false" outlineLevel="0" max="14810" min="14810" style="102" width="16.63"/>
    <col collapsed="false" customWidth="true" hidden="false" outlineLevel="0" max="14811" min="14811" style="102" width="8.88"/>
    <col collapsed="false" customWidth="true" hidden="false" outlineLevel="0" max="14855" min="14812" style="102" width="4.13"/>
    <col collapsed="false" customWidth="true" hidden="false" outlineLevel="0" max="14856" min="14856" style="102" width="5.88"/>
    <col collapsed="false" customWidth="true" hidden="false" outlineLevel="0" max="14859" min="14857" style="102" width="3.13"/>
    <col collapsed="false" customWidth="true" hidden="false" outlineLevel="0" max="14881" min="14860" style="102" width="2"/>
    <col collapsed="false" customWidth="false" hidden="false" outlineLevel="0" max="15063" min="14882" style="102" width="9.88"/>
    <col collapsed="false" customWidth="true" hidden="false" outlineLevel="0" max="15064" min="15064" style="102" width="5.88"/>
    <col collapsed="false" customWidth="true" hidden="false" outlineLevel="0" max="15065" min="15065" style="102" width="14.25"/>
    <col collapsed="false" customWidth="true" hidden="false" outlineLevel="0" max="15066" min="15066" style="102" width="16.63"/>
    <col collapsed="false" customWidth="true" hidden="false" outlineLevel="0" max="15067" min="15067" style="102" width="8.88"/>
    <col collapsed="false" customWidth="true" hidden="false" outlineLevel="0" max="15111" min="15068" style="102" width="4.13"/>
    <col collapsed="false" customWidth="true" hidden="false" outlineLevel="0" max="15112" min="15112" style="102" width="5.88"/>
    <col collapsed="false" customWidth="true" hidden="false" outlineLevel="0" max="15115" min="15113" style="102" width="3.13"/>
    <col collapsed="false" customWidth="true" hidden="false" outlineLevel="0" max="15137" min="15116" style="102" width="2"/>
    <col collapsed="false" customWidth="false" hidden="false" outlineLevel="0" max="15319" min="15138" style="102" width="9.88"/>
    <col collapsed="false" customWidth="true" hidden="false" outlineLevel="0" max="15320" min="15320" style="102" width="5.88"/>
    <col collapsed="false" customWidth="true" hidden="false" outlineLevel="0" max="15321" min="15321" style="102" width="14.25"/>
    <col collapsed="false" customWidth="true" hidden="false" outlineLevel="0" max="15322" min="15322" style="102" width="16.63"/>
    <col collapsed="false" customWidth="true" hidden="false" outlineLevel="0" max="15323" min="15323" style="102" width="8.88"/>
    <col collapsed="false" customWidth="true" hidden="false" outlineLevel="0" max="15367" min="15324" style="102" width="4.13"/>
    <col collapsed="false" customWidth="true" hidden="false" outlineLevel="0" max="15368" min="15368" style="102" width="5.88"/>
    <col collapsed="false" customWidth="true" hidden="false" outlineLevel="0" max="15371" min="15369" style="102" width="3.13"/>
    <col collapsed="false" customWidth="true" hidden="false" outlineLevel="0" max="15393" min="15372" style="102" width="2"/>
    <col collapsed="false" customWidth="false" hidden="false" outlineLevel="0" max="15575" min="15394" style="102" width="9.88"/>
    <col collapsed="false" customWidth="true" hidden="false" outlineLevel="0" max="15576" min="15576" style="102" width="5.88"/>
    <col collapsed="false" customWidth="true" hidden="false" outlineLevel="0" max="15577" min="15577" style="102" width="14.25"/>
    <col collapsed="false" customWidth="true" hidden="false" outlineLevel="0" max="15578" min="15578" style="102" width="16.63"/>
    <col collapsed="false" customWidth="true" hidden="false" outlineLevel="0" max="15579" min="15579" style="102" width="8.88"/>
    <col collapsed="false" customWidth="true" hidden="false" outlineLevel="0" max="15623" min="15580" style="102" width="4.13"/>
    <col collapsed="false" customWidth="true" hidden="false" outlineLevel="0" max="15624" min="15624" style="102" width="5.88"/>
    <col collapsed="false" customWidth="true" hidden="false" outlineLevel="0" max="15627" min="15625" style="102" width="3.13"/>
    <col collapsed="false" customWidth="true" hidden="false" outlineLevel="0" max="15649" min="15628" style="102" width="2"/>
    <col collapsed="false" customWidth="false" hidden="false" outlineLevel="0" max="15831" min="15650" style="102" width="9.88"/>
    <col collapsed="false" customWidth="true" hidden="false" outlineLevel="0" max="15832" min="15832" style="102" width="5.88"/>
    <col collapsed="false" customWidth="true" hidden="false" outlineLevel="0" max="15833" min="15833" style="102" width="14.25"/>
    <col collapsed="false" customWidth="true" hidden="false" outlineLevel="0" max="15834" min="15834" style="102" width="16.63"/>
    <col collapsed="false" customWidth="true" hidden="false" outlineLevel="0" max="15835" min="15835" style="102" width="8.88"/>
    <col collapsed="false" customWidth="true" hidden="false" outlineLevel="0" max="15879" min="15836" style="102" width="4.13"/>
    <col collapsed="false" customWidth="true" hidden="false" outlineLevel="0" max="15880" min="15880" style="102" width="5.88"/>
    <col collapsed="false" customWidth="true" hidden="false" outlineLevel="0" max="15883" min="15881" style="102" width="3.13"/>
    <col collapsed="false" customWidth="true" hidden="false" outlineLevel="0" max="15905" min="15884" style="102" width="2"/>
    <col collapsed="false" customWidth="false" hidden="false" outlineLevel="0" max="16087" min="15906" style="102" width="9.88"/>
    <col collapsed="false" customWidth="true" hidden="false" outlineLevel="0" max="16088" min="16088" style="102" width="5.88"/>
    <col collapsed="false" customWidth="true" hidden="false" outlineLevel="0" max="16089" min="16089" style="102" width="14.25"/>
    <col collapsed="false" customWidth="true" hidden="false" outlineLevel="0" max="16090" min="16090" style="102" width="16.63"/>
    <col collapsed="false" customWidth="true" hidden="false" outlineLevel="0" max="16091" min="16091" style="102" width="8.88"/>
    <col collapsed="false" customWidth="true" hidden="false" outlineLevel="0" max="16135" min="16092" style="102" width="4.13"/>
    <col collapsed="false" customWidth="true" hidden="false" outlineLevel="0" max="16136" min="16136" style="102" width="5.88"/>
    <col collapsed="false" customWidth="true" hidden="false" outlineLevel="0" max="16139" min="16137" style="102" width="3.13"/>
    <col collapsed="false" customWidth="true" hidden="false" outlineLevel="0" max="16161" min="16140" style="102" width="2"/>
    <col collapsed="false" customWidth="false" hidden="false" outlineLevel="0" max="16345" min="16162" style="102" width="9.88"/>
    <col collapsed="false" customWidth="true" hidden="false" outlineLevel="0" max="16384" min="16346" style="102" width="10"/>
  </cols>
  <sheetData>
    <row r="1" s="104" customFormat="true" ht="28.5" hidden="false" customHeight="true" outlineLevel="0" collapsed="false">
      <c r="A1" s="103" t="s">
        <v>103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="104" customFormat="true" ht="28.5" hidden="false" customHeight="true" outlineLevel="0" collapsed="false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</row>
    <row r="3" s="104" customFormat="true" ht="28.5" hidden="false" customHeight="true" outlineLevel="0" collapsed="false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</row>
    <row r="4" s="104" customFormat="true" ht="20.25" hidden="false" customHeight="true" outlineLevel="0" collapsed="false">
      <c r="A4" s="108" t="s">
        <v>104</v>
      </c>
      <c r="B4" s="108"/>
      <c r="C4" s="109" t="str">
        <f aca="false">공사정보_출력X!C2</f>
        <v>(예시) OO부대 시설물 보수공사</v>
      </c>
      <c r="D4" s="109"/>
      <c r="E4" s="109"/>
      <c r="F4" s="109"/>
      <c r="G4" s="109"/>
      <c r="H4" s="109"/>
      <c r="I4" s="109"/>
      <c r="J4" s="109"/>
      <c r="K4" s="109"/>
      <c r="L4" s="109"/>
      <c r="M4" s="110" t="s">
        <v>105</v>
      </c>
      <c r="N4" s="110"/>
      <c r="O4" s="110"/>
      <c r="P4" s="111" t="n">
        <f aca="false">공사정보_출력X!C11</f>
        <v>46029</v>
      </c>
      <c r="Q4" s="111"/>
      <c r="R4" s="111"/>
      <c r="S4" s="111"/>
    </row>
    <row r="5" s="104" customFormat="true" ht="20.25" hidden="false" customHeight="true" outlineLevel="0" collapsed="false">
      <c r="A5" s="108"/>
      <c r="B5" s="108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12" t="s">
        <v>106</v>
      </c>
      <c r="N5" s="112"/>
      <c r="O5" s="112"/>
      <c r="P5" s="111" t="n">
        <f aca="false">공사정보_출력X!C12</f>
        <v>46073</v>
      </c>
      <c r="Q5" s="111"/>
      <c r="R5" s="111"/>
      <c r="S5" s="111"/>
    </row>
    <row r="6" s="104" customFormat="true" ht="14.25" hidden="false" customHeight="true" outlineLevel="0" collapsed="false">
      <c r="A6" s="113" t="s">
        <v>107</v>
      </c>
      <c r="B6" s="113"/>
      <c r="C6" s="114" t="s">
        <v>108</v>
      </c>
      <c r="D6" s="114"/>
      <c r="E6" s="114"/>
      <c r="F6" s="114"/>
      <c r="G6" s="114"/>
      <c r="H6" s="114"/>
      <c r="I6" s="114"/>
      <c r="J6" s="114"/>
      <c r="K6" s="114"/>
      <c r="L6" s="114" t="s">
        <v>109</v>
      </c>
      <c r="M6" s="114"/>
      <c r="N6" s="114"/>
      <c r="O6" s="114"/>
      <c r="P6" s="114"/>
      <c r="Q6" s="114"/>
      <c r="R6" s="114"/>
      <c r="S6" s="114"/>
    </row>
    <row r="7" s="104" customFormat="true" ht="14.25" hidden="false" customHeight="true" outlineLevel="0" collapsed="false">
      <c r="A7" s="113"/>
      <c r="B7" s="113"/>
      <c r="C7" s="115" t="n">
        <v>7</v>
      </c>
      <c r="D7" s="116" t="n">
        <f aca="false">C7+3</f>
        <v>10</v>
      </c>
      <c r="E7" s="117" t="n">
        <f aca="false">D7+3</f>
        <v>13</v>
      </c>
      <c r="F7" s="116" t="n">
        <f aca="false">E7+3</f>
        <v>16</v>
      </c>
      <c r="G7" s="117" t="n">
        <f aca="false">F7+3</f>
        <v>19</v>
      </c>
      <c r="H7" s="116" t="n">
        <f aca="false">G7+3</f>
        <v>22</v>
      </c>
      <c r="I7" s="116" t="n">
        <f aca="false">H7+3</f>
        <v>25</v>
      </c>
      <c r="J7" s="116" t="n">
        <f aca="false">I7+3</f>
        <v>28</v>
      </c>
      <c r="K7" s="118" t="n">
        <f aca="false">J7+2</f>
        <v>30</v>
      </c>
      <c r="L7" s="117" t="n">
        <v>1</v>
      </c>
      <c r="M7" s="117" t="n">
        <f aca="false">L7+3</f>
        <v>4</v>
      </c>
      <c r="N7" s="117" t="n">
        <f aca="false">M7+3</f>
        <v>7</v>
      </c>
      <c r="O7" s="117" t="n">
        <f aca="false">N7+3</f>
        <v>10</v>
      </c>
      <c r="P7" s="117" t="n">
        <f aca="false">O7+3</f>
        <v>13</v>
      </c>
      <c r="Q7" s="117" t="n">
        <f aca="false">P7+3</f>
        <v>16</v>
      </c>
      <c r="R7" s="117" t="n">
        <f aca="false">Q7+3</f>
        <v>19</v>
      </c>
      <c r="S7" s="119" t="n">
        <f aca="false">R7+3</f>
        <v>22</v>
      </c>
    </row>
    <row r="8" s="104" customFormat="true" ht="19.5" hidden="false" customHeight="true" outlineLevel="0" collapsed="false">
      <c r="A8" s="120" t="s">
        <v>110</v>
      </c>
      <c r="B8" s="121" t="s">
        <v>111</v>
      </c>
      <c r="C8" s="122"/>
      <c r="D8" s="123"/>
      <c r="E8" s="123"/>
      <c r="F8" s="124"/>
      <c r="G8" s="124"/>
      <c r="H8" s="125"/>
      <c r="I8" s="126"/>
      <c r="J8" s="124"/>
      <c r="K8" s="127"/>
      <c r="L8" s="126"/>
      <c r="M8" s="124"/>
      <c r="N8" s="124"/>
      <c r="O8" s="124"/>
      <c r="P8" s="128"/>
      <c r="Q8" s="123"/>
      <c r="R8" s="124"/>
      <c r="S8" s="129" t="s">
        <v>112</v>
      </c>
    </row>
    <row r="9" s="104" customFormat="true" ht="19.5" hidden="false" customHeight="true" outlineLevel="0" collapsed="false">
      <c r="A9" s="120"/>
      <c r="B9" s="120"/>
      <c r="C9" s="130"/>
      <c r="D9" s="131"/>
      <c r="E9" s="131"/>
      <c r="F9" s="132"/>
      <c r="G9" s="133"/>
      <c r="H9" s="133"/>
      <c r="I9" s="133"/>
      <c r="J9" s="132"/>
      <c r="K9" s="134"/>
      <c r="L9" s="135"/>
      <c r="M9" s="132"/>
      <c r="N9" s="132"/>
      <c r="O9" s="132"/>
      <c r="P9" s="136"/>
      <c r="Q9" s="131"/>
      <c r="R9" s="132"/>
      <c r="S9" s="129"/>
    </row>
    <row r="10" s="104" customFormat="true" ht="19.5" hidden="false" customHeight="true" outlineLevel="0" collapsed="false">
      <c r="A10" s="120"/>
      <c r="B10" s="121"/>
      <c r="C10" s="137"/>
      <c r="D10" s="138"/>
      <c r="E10" s="138"/>
      <c r="F10" s="139"/>
      <c r="G10" s="139"/>
      <c r="H10" s="138"/>
      <c r="I10" s="140"/>
      <c r="J10" s="139"/>
      <c r="K10" s="141"/>
      <c r="L10" s="140"/>
      <c r="M10" s="139"/>
      <c r="N10" s="139"/>
      <c r="O10" s="139"/>
      <c r="P10" s="142"/>
      <c r="Q10" s="138"/>
      <c r="R10" s="139"/>
      <c r="S10" s="129"/>
    </row>
    <row r="11" s="104" customFormat="true" ht="19.5" hidden="false" customHeight="true" outlineLevel="0" collapsed="false">
      <c r="A11" s="120"/>
      <c r="B11" s="121" t="s">
        <v>113</v>
      </c>
      <c r="C11" s="143"/>
      <c r="D11" s="144"/>
      <c r="E11" s="145"/>
      <c r="F11" s="146"/>
      <c r="G11" s="146"/>
      <c r="H11" s="145"/>
      <c r="I11" s="147"/>
      <c r="J11" s="146"/>
      <c r="K11" s="148"/>
      <c r="L11" s="147"/>
      <c r="M11" s="146"/>
      <c r="N11" s="146"/>
      <c r="O11" s="146"/>
      <c r="P11" s="149"/>
      <c r="Q11" s="145"/>
      <c r="R11" s="124"/>
      <c r="S11" s="129"/>
    </row>
    <row r="12" s="104" customFormat="true" ht="19.5" hidden="false" customHeight="true" outlineLevel="0" collapsed="false">
      <c r="A12" s="120"/>
      <c r="B12" s="120"/>
      <c r="C12" s="150"/>
      <c r="D12" s="151"/>
      <c r="E12" s="152"/>
      <c r="F12" s="153"/>
      <c r="G12" s="153"/>
      <c r="H12" s="152"/>
      <c r="I12" s="154"/>
      <c r="J12" s="155"/>
      <c r="K12" s="156"/>
      <c r="L12" s="154"/>
      <c r="M12" s="155"/>
      <c r="N12" s="155"/>
      <c r="O12" s="155"/>
      <c r="P12" s="157"/>
      <c r="Q12" s="152"/>
      <c r="R12" s="132"/>
      <c r="S12" s="129"/>
    </row>
    <row r="13" s="104" customFormat="true" ht="19.5" hidden="false" customHeight="true" outlineLevel="0" collapsed="false">
      <c r="A13" s="120"/>
      <c r="B13" s="121"/>
      <c r="C13" s="158"/>
      <c r="D13" s="159"/>
      <c r="E13" s="160"/>
      <c r="F13" s="161"/>
      <c r="G13" s="161"/>
      <c r="H13" s="160"/>
      <c r="I13" s="162"/>
      <c r="J13" s="161"/>
      <c r="K13" s="163"/>
      <c r="L13" s="162"/>
      <c r="M13" s="161"/>
      <c r="N13" s="161"/>
      <c r="O13" s="161"/>
      <c r="P13" s="164"/>
      <c r="Q13" s="160"/>
      <c r="R13" s="139"/>
      <c r="S13" s="129"/>
    </row>
    <row r="14" s="104" customFormat="true" ht="19.5" hidden="false" customHeight="true" outlineLevel="0" collapsed="false">
      <c r="A14" s="120"/>
      <c r="B14" s="121" t="s">
        <v>114</v>
      </c>
      <c r="C14" s="143"/>
      <c r="D14" s="144"/>
      <c r="E14" s="145"/>
      <c r="F14" s="146"/>
      <c r="G14" s="146"/>
      <c r="H14" s="145"/>
      <c r="I14" s="147"/>
      <c r="J14" s="146"/>
      <c r="K14" s="148"/>
      <c r="L14" s="147"/>
      <c r="M14" s="146"/>
      <c r="N14" s="146"/>
      <c r="O14" s="146"/>
      <c r="P14" s="149"/>
      <c r="Q14" s="145"/>
      <c r="R14" s="124"/>
      <c r="S14" s="129"/>
    </row>
    <row r="15" s="104" customFormat="true" ht="19.5" hidden="false" customHeight="true" outlineLevel="0" collapsed="false">
      <c r="A15" s="120"/>
      <c r="B15" s="120"/>
      <c r="C15" s="150"/>
      <c r="D15" s="151"/>
      <c r="E15" s="152"/>
      <c r="F15" s="155"/>
      <c r="G15" s="155"/>
      <c r="H15" s="152"/>
      <c r="I15" s="154"/>
      <c r="J15" s="165"/>
      <c r="K15" s="156"/>
      <c r="L15" s="154"/>
      <c r="M15" s="155"/>
      <c r="N15" s="155"/>
      <c r="O15" s="155"/>
      <c r="P15" s="157"/>
      <c r="Q15" s="152"/>
      <c r="R15" s="132"/>
      <c r="S15" s="129"/>
    </row>
    <row r="16" s="104" customFormat="true" ht="19.5" hidden="false" customHeight="true" outlineLevel="0" collapsed="false">
      <c r="A16" s="120"/>
      <c r="B16" s="121"/>
      <c r="C16" s="158"/>
      <c r="D16" s="159"/>
      <c r="E16" s="160"/>
      <c r="F16" s="161"/>
      <c r="G16" s="161"/>
      <c r="H16" s="160"/>
      <c r="I16" s="162"/>
      <c r="J16" s="161"/>
      <c r="K16" s="163"/>
      <c r="L16" s="162"/>
      <c r="M16" s="161"/>
      <c r="N16" s="161"/>
      <c r="O16" s="161"/>
      <c r="P16" s="164"/>
      <c r="Q16" s="160"/>
      <c r="R16" s="139"/>
      <c r="S16" s="129"/>
    </row>
    <row r="17" s="104" customFormat="true" ht="19.5" hidden="false" customHeight="true" outlineLevel="0" collapsed="false">
      <c r="A17" s="120"/>
      <c r="B17" s="121" t="s">
        <v>115</v>
      </c>
      <c r="C17" s="143"/>
      <c r="D17" s="144"/>
      <c r="E17" s="145"/>
      <c r="F17" s="146"/>
      <c r="G17" s="146"/>
      <c r="H17" s="145"/>
      <c r="I17" s="147"/>
      <c r="J17" s="146"/>
      <c r="K17" s="148"/>
      <c r="L17" s="147"/>
      <c r="M17" s="146"/>
      <c r="N17" s="146"/>
      <c r="O17" s="146"/>
      <c r="P17" s="149"/>
      <c r="Q17" s="145"/>
      <c r="R17" s="124"/>
      <c r="S17" s="129"/>
    </row>
    <row r="18" s="104" customFormat="true" ht="19.5" hidden="false" customHeight="true" outlineLevel="0" collapsed="false">
      <c r="A18" s="120"/>
      <c r="B18" s="120"/>
      <c r="C18" s="150"/>
      <c r="D18" s="151"/>
      <c r="E18" s="152"/>
      <c r="F18" s="155"/>
      <c r="G18" s="155"/>
      <c r="H18" s="152"/>
      <c r="I18" s="154"/>
      <c r="J18" s="155"/>
      <c r="K18" s="166"/>
      <c r="L18" s="167"/>
      <c r="M18" s="168"/>
      <c r="N18" s="168"/>
      <c r="O18" s="166"/>
      <c r="P18" s="167"/>
      <c r="Q18" s="152"/>
      <c r="R18" s="132"/>
      <c r="S18" s="129"/>
    </row>
    <row r="19" s="104" customFormat="true" ht="19.5" hidden="false" customHeight="true" outlineLevel="0" collapsed="false">
      <c r="A19" s="120"/>
      <c r="B19" s="121"/>
      <c r="C19" s="158"/>
      <c r="D19" s="159"/>
      <c r="E19" s="160"/>
      <c r="F19" s="161"/>
      <c r="G19" s="161"/>
      <c r="H19" s="160"/>
      <c r="I19" s="162"/>
      <c r="J19" s="161"/>
      <c r="K19" s="163"/>
      <c r="L19" s="162"/>
      <c r="M19" s="161"/>
      <c r="N19" s="161"/>
      <c r="O19" s="161"/>
      <c r="P19" s="164"/>
      <c r="Q19" s="160"/>
      <c r="R19" s="139"/>
      <c r="S19" s="129"/>
    </row>
    <row r="20" s="104" customFormat="true" ht="19.5" hidden="false" customHeight="true" outlineLevel="0" collapsed="false">
      <c r="A20" s="120"/>
      <c r="B20" s="121" t="s">
        <v>116</v>
      </c>
      <c r="C20" s="143"/>
      <c r="D20" s="144"/>
      <c r="E20" s="145"/>
      <c r="F20" s="146"/>
      <c r="G20" s="146"/>
      <c r="H20" s="145"/>
      <c r="I20" s="147"/>
      <c r="J20" s="146"/>
      <c r="K20" s="148"/>
      <c r="L20" s="147"/>
      <c r="M20" s="146"/>
      <c r="N20" s="146"/>
      <c r="O20" s="152"/>
      <c r="P20" s="149"/>
      <c r="Q20" s="145"/>
      <c r="R20" s="124"/>
      <c r="S20" s="129"/>
    </row>
    <row r="21" s="104" customFormat="true" ht="19.5" hidden="false" customHeight="true" outlineLevel="0" collapsed="false">
      <c r="A21" s="120"/>
      <c r="B21" s="120"/>
      <c r="C21" s="150"/>
      <c r="D21" s="151"/>
      <c r="E21" s="152"/>
      <c r="F21" s="155"/>
      <c r="G21" s="155"/>
      <c r="H21" s="152"/>
      <c r="I21" s="154"/>
      <c r="J21" s="155"/>
      <c r="K21" s="156"/>
      <c r="L21" s="154"/>
      <c r="M21" s="155"/>
      <c r="N21" s="155"/>
      <c r="O21" s="168"/>
      <c r="P21" s="167"/>
      <c r="Q21" s="152"/>
      <c r="R21" s="132"/>
      <c r="S21" s="129"/>
    </row>
    <row r="22" s="104" customFormat="true" ht="19.5" hidden="false" customHeight="true" outlineLevel="0" collapsed="false">
      <c r="A22" s="120"/>
      <c r="B22" s="121"/>
      <c r="C22" s="158"/>
      <c r="D22" s="159"/>
      <c r="E22" s="160"/>
      <c r="F22" s="161"/>
      <c r="G22" s="161"/>
      <c r="H22" s="160"/>
      <c r="I22" s="162"/>
      <c r="J22" s="161"/>
      <c r="K22" s="163"/>
      <c r="L22" s="162"/>
      <c r="M22" s="161"/>
      <c r="N22" s="161"/>
      <c r="O22" s="161"/>
      <c r="P22" s="164"/>
      <c r="Q22" s="160"/>
      <c r="R22" s="139"/>
      <c r="S22" s="129"/>
    </row>
    <row r="23" s="104" customFormat="true" ht="19.5" hidden="false" customHeight="true" outlineLevel="0" collapsed="false">
      <c r="A23" s="120"/>
      <c r="B23" s="121" t="s">
        <v>117</v>
      </c>
      <c r="C23" s="143"/>
      <c r="D23" s="144"/>
      <c r="E23" s="145"/>
      <c r="F23" s="146"/>
      <c r="G23" s="146"/>
      <c r="H23" s="145"/>
      <c r="I23" s="147"/>
      <c r="J23" s="146"/>
      <c r="K23" s="148"/>
      <c r="L23" s="147"/>
      <c r="M23" s="146"/>
      <c r="N23" s="146"/>
      <c r="O23" s="146"/>
      <c r="P23" s="149"/>
      <c r="Q23" s="145"/>
      <c r="R23" s="124"/>
      <c r="S23" s="129"/>
    </row>
    <row r="24" s="104" customFormat="true" ht="19.5" hidden="false" customHeight="true" outlineLevel="0" collapsed="false">
      <c r="A24" s="120"/>
      <c r="B24" s="120"/>
      <c r="C24" s="150"/>
      <c r="D24" s="151"/>
      <c r="E24" s="152"/>
      <c r="F24" s="155"/>
      <c r="G24" s="155"/>
      <c r="H24" s="152"/>
      <c r="I24" s="154"/>
      <c r="J24" s="155"/>
      <c r="K24" s="156"/>
      <c r="L24" s="168"/>
      <c r="M24" s="155"/>
      <c r="N24" s="155"/>
      <c r="O24" s="155"/>
      <c r="P24" s="167"/>
      <c r="Q24" s="168"/>
      <c r="R24" s="166"/>
      <c r="S24" s="129"/>
    </row>
    <row r="25" s="104" customFormat="true" ht="19.5" hidden="false" customHeight="true" outlineLevel="0" collapsed="false">
      <c r="A25" s="120"/>
      <c r="B25" s="121"/>
      <c r="C25" s="158"/>
      <c r="D25" s="159"/>
      <c r="E25" s="160"/>
      <c r="F25" s="161"/>
      <c r="G25" s="161"/>
      <c r="H25" s="160"/>
      <c r="I25" s="162"/>
      <c r="J25" s="161"/>
      <c r="K25" s="163"/>
      <c r="L25" s="162"/>
      <c r="M25" s="161"/>
      <c r="N25" s="161"/>
      <c r="O25" s="161"/>
      <c r="P25" s="164"/>
      <c r="Q25" s="160"/>
      <c r="R25" s="139"/>
      <c r="S25" s="129"/>
    </row>
  </sheetData>
  <mergeCells count="19">
    <mergeCell ref="A1:S2"/>
    <mergeCell ref="V1:AH2"/>
    <mergeCell ref="A4:B5"/>
    <mergeCell ref="C4:L5"/>
    <mergeCell ref="M4:O4"/>
    <mergeCell ref="P4:S4"/>
    <mergeCell ref="M5:O5"/>
    <mergeCell ref="P5:S5"/>
    <mergeCell ref="A6:B7"/>
    <mergeCell ref="C6:K6"/>
    <mergeCell ref="L6:S6"/>
    <mergeCell ref="A8:A25"/>
    <mergeCell ref="B8:B10"/>
    <mergeCell ref="S8:S25"/>
    <mergeCell ref="B11:B13"/>
    <mergeCell ref="B14:B16"/>
    <mergeCell ref="B17:B19"/>
    <mergeCell ref="B20:B22"/>
    <mergeCell ref="B23:B25"/>
  </mergeCells>
  <printOptions headings="false" gridLines="false" gridLinesSet="true" horizontalCentered="true" verticalCentered="false"/>
  <pageMargins left="0.315277777777778" right="0.315277777777778" top="0.551388888888889" bottom="0.551388888888889" header="0.511811023622047" footer="0.511811023622047"/>
  <pageSetup paperSize="9" scale="9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false" showOutlineSymbols="true" defaultGridColor="true" view="pageBreakPreview" topLeftCell="A19" colorId="64" zoomScale="100" zoomScaleNormal="100" zoomScalePageLayoutView="100" workbookViewId="0">
      <selection pane="topLeft" activeCell="M40" activeCellId="0" sqref="M40"/>
    </sheetView>
  </sheetViews>
  <sheetFormatPr defaultColWidth="8.75" defaultRowHeight="16.5" zeroHeight="false" outlineLevelRow="0" outlineLevelCol="0"/>
  <cols>
    <col collapsed="false" customWidth="true" hidden="false" outlineLevel="0" max="1" min="1" style="42" width="2.88"/>
    <col collapsed="false" customWidth="true" hidden="false" outlineLevel="0" max="2" min="2" style="42" width="17.13"/>
    <col collapsed="false" customWidth="true" hidden="false" outlineLevel="0" max="3" min="3" style="42" width="2.5"/>
    <col collapsed="false" customWidth="true" hidden="false" outlineLevel="0" max="4" min="4" style="42" width="11.75"/>
    <col collapsed="false" customWidth="true" hidden="false" outlineLevel="0" max="5" min="5" style="42" width="2.13"/>
    <col collapsed="false" customWidth="true" hidden="false" outlineLevel="0" max="6" min="6" style="42" width="16"/>
    <col collapsed="false" customWidth="true" hidden="false" outlineLevel="0" max="7" min="7" style="42" width="25.75"/>
    <col collapsed="false" customWidth="true" hidden="false" outlineLevel="0" max="8" min="8" style="42" width="2.13"/>
    <col collapsed="false" customWidth="false" hidden="false" outlineLevel="0" max="16384" min="9" style="42" width="8.75"/>
  </cols>
  <sheetData>
    <row r="1" customFormat="false" ht="39.75" hidden="false" customHeight="true" outlineLevel="0" collapsed="false">
      <c r="B1" s="50" t="s">
        <v>118</v>
      </c>
      <c r="C1" s="50"/>
      <c r="D1" s="50"/>
      <c r="E1" s="50"/>
      <c r="F1" s="50"/>
      <c r="G1" s="50"/>
      <c r="H1" s="51"/>
    </row>
    <row r="2" customFormat="false" ht="15" hidden="false" customHeight="true" outlineLevel="0" collapsed="false">
      <c r="B2" s="52"/>
      <c r="C2" s="52"/>
      <c r="D2" s="52"/>
      <c r="E2" s="52"/>
      <c r="F2" s="52"/>
      <c r="G2" s="52"/>
      <c r="H2" s="51"/>
    </row>
    <row r="3" customFormat="false" ht="27.75" hidden="false" customHeight="true" outlineLevel="0" collapsed="false">
      <c r="B3" s="53" t="s">
        <v>0</v>
      </c>
      <c r="C3" s="54" t="s">
        <v>63</v>
      </c>
      <c r="D3" s="55" t="str">
        <f aca="false">공사정보_출력X!C2</f>
        <v>(예시) OO부대 시설물 보수공사</v>
      </c>
      <c r="E3" s="55"/>
      <c r="F3" s="55"/>
      <c r="G3" s="55"/>
    </row>
    <row r="4" customFormat="false" ht="27.75" hidden="false" customHeight="true" outlineLevel="0" collapsed="false">
      <c r="B4" s="53" t="s">
        <v>64</v>
      </c>
      <c r="C4" s="54" t="s">
        <v>63</v>
      </c>
      <c r="D4" s="56" t="e">
        <f aca="false">"일금 "&amp;numberstring(공사정보_출력X!C9,1)&amp;"원정 ("&amp;DOLLAR(공사정보_출력X!C9,0)&amp;") "</f>
        <v>#NAME?</v>
      </c>
      <c r="E4" s="56"/>
      <c r="F4" s="56"/>
      <c r="G4" s="56"/>
    </row>
    <row r="5" customFormat="false" ht="27.75" hidden="false" customHeight="true" outlineLevel="0" collapsed="false">
      <c r="B5" s="53" t="s">
        <v>119</v>
      </c>
      <c r="C5" s="54" t="s">
        <v>63</v>
      </c>
      <c r="D5" s="58" t="str">
        <f aca="false">공사정보_출력X!C6</f>
        <v>주식회사 가상건설</v>
      </c>
      <c r="E5" s="58"/>
      <c r="F5" s="58"/>
      <c r="G5" s="59"/>
    </row>
    <row r="6" customFormat="false" ht="27.75" hidden="false" customHeight="true" outlineLevel="0" collapsed="false">
      <c r="B6" s="53" t="s">
        <v>18</v>
      </c>
      <c r="C6" s="54" t="s">
        <v>63</v>
      </c>
      <c r="D6" s="58" t="n">
        <f aca="false">공사정보_출력X!C11</f>
        <v>46029</v>
      </c>
      <c r="E6" s="58"/>
      <c r="F6" s="58"/>
      <c r="G6" s="59"/>
    </row>
    <row r="7" customFormat="false" ht="27.75" hidden="false" customHeight="true" outlineLevel="0" collapsed="false">
      <c r="B7" s="53" t="s">
        <v>19</v>
      </c>
      <c r="C7" s="54" t="s">
        <v>63</v>
      </c>
      <c r="D7" s="58" t="n">
        <f aca="false">공사정보_출력X!C12</f>
        <v>46073</v>
      </c>
      <c r="E7" s="58"/>
      <c r="F7" s="58"/>
      <c r="G7" s="59"/>
    </row>
    <row r="8" customFormat="false" ht="24.75" hidden="false" customHeight="true" outlineLevel="0" collapsed="false"/>
    <row r="9" customFormat="false" ht="24.75" hidden="false" customHeight="true" outlineLevel="0" collapsed="false"/>
    <row r="10" customFormat="false" ht="24.75" hidden="false" customHeight="true" outlineLevel="0" collapsed="false"/>
    <row r="11" customFormat="false" ht="24.75" hidden="false" customHeight="true" outlineLevel="0" collapsed="false"/>
    <row r="12" customFormat="false" ht="30" hidden="false" customHeight="true" outlineLevel="0" collapsed="false">
      <c r="B12" s="60" t="s">
        <v>120</v>
      </c>
    </row>
    <row r="13" customFormat="false" ht="24" hidden="false" customHeight="true" outlineLevel="0" collapsed="false">
      <c r="B13" s="61"/>
    </row>
    <row r="14" customFormat="false" ht="24" hidden="false" customHeight="true" outlineLevel="0" collapsed="false">
      <c r="B14" s="61"/>
    </row>
    <row r="15" customFormat="false" ht="24" hidden="false" customHeight="true" outlineLevel="0" collapsed="false">
      <c r="B15" s="61"/>
    </row>
    <row r="16" customFormat="false" ht="24" hidden="false" customHeight="true" outlineLevel="0" collapsed="false">
      <c r="B16" s="61"/>
    </row>
    <row r="17" customFormat="false" ht="24.75" hidden="false" customHeight="true" outlineLevel="0" collapsed="false">
      <c r="B17" s="62" t="s">
        <v>66</v>
      </c>
      <c r="C17" s="42" t="s">
        <v>121</v>
      </c>
    </row>
    <row r="18" customFormat="false" ht="24.75" hidden="false" customHeight="true" outlineLevel="0" collapsed="false">
      <c r="B18" s="61"/>
    </row>
    <row r="19" customFormat="false" ht="24.75" hidden="false" customHeight="true" outlineLevel="0" collapsed="false">
      <c r="B19" s="61"/>
    </row>
    <row r="20" customFormat="false" ht="30" hidden="false" customHeight="true" outlineLevel="0" collapsed="false">
      <c r="B20" s="169" t="n">
        <f aca="false">공사정보_출력X!C5</f>
        <v>46035</v>
      </c>
      <c r="C20" s="169"/>
      <c r="D20" s="169"/>
      <c r="E20" s="169"/>
      <c r="F20" s="169"/>
      <c r="G20" s="169"/>
      <c r="H20" s="54"/>
    </row>
    <row r="21" customFormat="false" ht="30" hidden="false" customHeight="true" outlineLevel="0" collapsed="false">
      <c r="B21" s="75"/>
      <c r="C21" s="54"/>
      <c r="D21" s="54"/>
      <c r="E21" s="54"/>
      <c r="F21" s="54"/>
      <c r="G21" s="54"/>
      <c r="H21" s="54"/>
    </row>
    <row r="22" customFormat="false" ht="30" hidden="false" customHeight="true" outlineLevel="0" collapsed="false">
      <c r="B22" s="64"/>
    </row>
    <row r="23" customFormat="false" ht="30" hidden="false" customHeight="true" outlineLevel="0" collapsed="false">
      <c r="D23" s="53" t="s">
        <v>122</v>
      </c>
      <c r="E23" s="54" t="s">
        <v>63</v>
      </c>
      <c r="F23" s="79" t="str">
        <f aca="false">공사정보_출력X!E6</f>
        <v>OO도 OO시 OO구 OO로 00 (OO동) OOO호</v>
      </c>
      <c r="G23" s="79"/>
    </row>
    <row r="24" customFormat="false" ht="30" hidden="false" customHeight="true" outlineLevel="0" collapsed="false">
      <c r="D24" s="53" t="s">
        <v>123</v>
      </c>
      <c r="E24" s="54" t="s">
        <v>63</v>
      </c>
      <c r="F24" s="65" t="str">
        <f aca="false">"현장대리인           "&amp;공사정보_출력X!C13&amp;"   (인)"</f>
        <v>현장대리인           홍길동   (인)</v>
      </c>
      <c r="G24" s="65"/>
    </row>
    <row r="25" customFormat="false" ht="30" hidden="false" customHeight="true" outlineLevel="0" collapsed="false">
      <c r="D25" s="53" t="s">
        <v>124</v>
      </c>
      <c r="E25" s="54" t="s">
        <v>63</v>
      </c>
      <c r="F25" s="170" t="s">
        <v>125</v>
      </c>
      <c r="G25" s="170"/>
    </row>
    <row r="26" customFormat="false" ht="30" hidden="false" customHeight="true" outlineLevel="0" collapsed="false"/>
    <row r="27" customFormat="false" ht="30" hidden="false" customHeight="true" outlineLevel="0" collapsed="false">
      <c r="B27" s="66" t="str">
        <f aca="false">공사정보_출력X!C8</f>
        <v>OO부대</v>
      </c>
      <c r="C27" s="66"/>
      <c r="D27" s="66"/>
    </row>
    <row r="28" customFormat="false" ht="14.25" hidden="false" customHeight="true" outlineLevel="0" collapsed="false"/>
  </sheetData>
  <mergeCells count="10">
    <mergeCell ref="B1:G1"/>
    <mergeCell ref="D3:G3"/>
    <mergeCell ref="D4:G4"/>
    <mergeCell ref="D5:F5"/>
    <mergeCell ref="D6:F6"/>
    <mergeCell ref="D7:F7"/>
    <mergeCell ref="B20:G20"/>
    <mergeCell ref="F23:G23"/>
    <mergeCell ref="F24:G24"/>
    <mergeCell ref="F25:G25"/>
  </mergeCells>
  <printOptions headings="false" gridLines="false" gridLinesSet="true" horizontalCentered="true" verticalCentered="false"/>
  <pageMargins left="0.7875" right="0.7875" top="0.984027777777778" bottom="0.590277777777778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8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F21" activeCellId="0" sqref="AF21"/>
    </sheetView>
  </sheetViews>
  <sheetFormatPr defaultColWidth="8.75" defaultRowHeight="16.5" zeroHeight="false" outlineLevelRow="0" outlineLevelCol="0"/>
  <cols>
    <col collapsed="false" customWidth="true" hidden="false" outlineLevel="0" max="6" min="1" style="42" width="3.13"/>
    <col collapsed="false" customWidth="true" hidden="false" outlineLevel="0" max="10" min="7" style="42" width="4"/>
    <col collapsed="false" customWidth="true" hidden="false" outlineLevel="0" max="16" min="11" style="42" width="3.13"/>
    <col collapsed="false" customWidth="true" hidden="false" outlineLevel="0" max="19" min="17" style="42" width="3.25"/>
    <col collapsed="false" customWidth="true" hidden="false" outlineLevel="0" max="23" min="20" style="42" width="3.88"/>
    <col collapsed="false" customWidth="true" hidden="false" outlineLevel="0" max="27" min="24" style="42" width="3.13"/>
    <col collapsed="false" customWidth="false" hidden="false" outlineLevel="0" max="16384" min="28" style="42" width="8.75"/>
  </cols>
  <sheetData>
    <row r="2" customFormat="false" ht="19.5" hidden="false" customHeight="true" outlineLevel="0" collapsed="false">
      <c r="B2" s="171" t="s">
        <v>126</v>
      </c>
    </row>
    <row r="3" customFormat="false" ht="19.5" hidden="false" customHeight="true" outlineLevel="0" collapsed="false">
      <c r="B3" s="171"/>
    </row>
    <row r="4" customFormat="false" ht="15" hidden="false" customHeight="true" outlineLevel="0" collapsed="false">
      <c r="B4" s="172" t="s">
        <v>127</v>
      </c>
    </row>
    <row r="5" customFormat="false" ht="15" hidden="false" customHeight="true" outlineLevel="0" collapsed="false">
      <c r="B5" s="172"/>
    </row>
    <row r="6" s="173" customFormat="true" ht="19.5" hidden="false" customHeight="true" outlineLevel="0" collapsed="false">
      <c r="B6" s="172"/>
      <c r="C6" s="174" t="s">
        <v>128</v>
      </c>
      <c r="D6" s="174"/>
      <c r="E6" s="174"/>
      <c r="F6" s="174"/>
      <c r="G6" s="175" t="s">
        <v>129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s="173" customFormat="true" ht="19.5" hidden="false" customHeight="true" outlineLevel="0" collapsed="false">
      <c r="B7" s="172"/>
      <c r="C7" s="174"/>
      <c r="D7" s="174"/>
      <c r="E7" s="174"/>
      <c r="F7" s="174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s="173" customFormat="true" ht="19.5" hidden="false" customHeight="true" outlineLevel="0" collapsed="false">
      <c r="B8" s="172"/>
      <c r="C8" s="176" t="s">
        <v>0</v>
      </c>
      <c r="D8" s="176"/>
      <c r="E8" s="176"/>
      <c r="F8" s="176"/>
      <c r="G8" s="177" t="str">
        <f aca="false">공사정보_출력X!C2</f>
        <v>(예시) OO부대 시설물 보수공사</v>
      </c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s="173" customFormat="true" ht="19.5" hidden="false" customHeight="true" outlineLevel="0" collapsed="false">
      <c r="B9" s="172"/>
      <c r="C9" s="178" t="s">
        <v>130</v>
      </c>
      <c r="D9" s="178"/>
      <c r="E9" s="178"/>
      <c r="F9" s="178"/>
      <c r="G9" s="179" t="str">
        <f aca="false">공사정보_출력X!C4</f>
        <v>OO도 OO시 OO구</v>
      </c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s="173" customFormat="true" ht="19.5" hidden="false" customHeight="true" outlineLevel="0" collapsed="false">
      <c r="B10" s="172"/>
      <c r="C10" s="180" t="s">
        <v>131</v>
      </c>
      <c r="D10" s="180"/>
      <c r="E10" s="180"/>
      <c r="F10" s="180"/>
      <c r="G10" s="181" t="n">
        <f aca="false">공사정보_출력X!C11</f>
        <v>46029</v>
      </c>
      <c r="H10" s="181"/>
      <c r="I10" s="181"/>
      <c r="J10" s="181"/>
      <c r="K10" s="181"/>
      <c r="L10" s="181"/>
      <c r="M10" s="181"/>
      <c r="N10" s="181"/>
      <c r="O10" s="181"/>
      <c r="P10" s="182" t="s">
        <v>132</v>
      </c>
      <c r="Q10" s="183" t="n">
        <f aca="false">공사정보_출력X!C12</f>
        <v>46073</v>
      </c>
      <c r="R10" s="183"/>
      <c r="S10" s="183"/>
      <c r="T10" s="183"/>
      <c r="U10" s="183"/>
      <c r="V10" s="183"/>
      <c r="W10" s="183"/>
      <c r="X10" s="183"/>
      <c r="Y10" s="183"/>
      <c r="Z10" s="183"/>
    </row>
    <row r="11" s="173" customFormat="true" ht="19.5" hidden="false" customHeight="true" outlineLevel="0" collapsed="false">
      <c r="B11" s="172"/>
      <c r="C11" s="184" t="s">
        <v>133</v>
      </c>
      <c r="D11" s="184"/>
      <c r="E11" s="184"/>
      <c r="F11" s="184"/>
      <c r="G11" s="185" t="str">
        <f aca="false">공사정보_출력X!C3</f>
        <v>종합공사</v>
      </c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s="173" customFormat="true" ht="15" hidden="false" customHeight="true" outlineLevel="0" collapsed="false">
      <c r="B12" s="172"/>
    </row>
    <row r="13" s="173" customFormat="true" ht="15" hidden="false" customHeight="true" outlineLevel="0" collapsed="false">
      <c r="B13" s="172"/>
    </row>
    <row r="14" customFormat="false" ht="15" hidden="false" customHeight="true" outlineLevel="0" collapsed="false">
      <c r="B14" s="172" t="s">
        <v>134</v>
      </c>
    </row>
    <row r="15" customFormat="false" ht="15" hidden="false" customHeight="true" outlineLevel="0" collapsed="false">
      <c r="B15" s="172"/>
    </row>
    <row r="16" s="173" customFormat="true" ht="19.5" hidden="false" customHeight="true" outlineLevel="0" collapsed="false">
      <c r="C16" s="186"/>
      <c r="D16" s="42"/>
      <c r="E16" s="42"/>
      <c r="F16" s="187"/>
      <c r="G16" s="188" t="s">
        <v>135</v>
      </c>
      <c r="H16" s="188"/>
      <c r="I16" s="188"/>
      <c r="J16" s="188"/>
      <c r="K16" s="188"/>
      <c r="L16" s="188"/>
      <c r="M16" s="188"/>
      <c r="P16" s="186"/>
      <c r="Q16" s="188" t="s">
        <v>136</v>
      </c>
      <c r="R16" s="188"/>
      <c r="S16" s="188"/>
      <c r="T16" s="188"/>
      <c r="U16" s="188"/>
      <c r="V16" s="188"/>
      <c r="W16" s="188"/>
    </row>
    <row r="17" s="173" customFormat="true" ht="19.5" hidden="false" customHeight="true" outlineLevel="0" collapsed="false">
      <c r="C17" s="186"/>
      <c r="D17" s="42"/>
      <c r="E17" s="42"/>
      <c r="F17" s="187"/>
      <c r="G17" s="189" t="str">
        <f aca="false">공사정보_출력X!C8</f>
        <v>OO부대</v>
      </c>
      <c r="H17" s="189"/>
      <c r="I17" s="189"/>
      <c r="J17" s="189"/>
      <c r="K17" s="189"/>
      <c r="L17" s="189"/>
      <c r="M17" s="189"/>
      <c r="Q17" s="190" t="str">
        <f aca="false">공사정보_출력X!C6</f>
        <v>주식회사 가상건설</v>
      </c>
      <c r="R17" s="190"/>
      <c r="S17" s="190"/>
      <c r="T17" s="190"/>
      <c r="U17" s="190"/>
      <c r="V17" s="190"/>
      <c r="W17" s="190"/>
    </row>
    <row r="18" s="173" customFormat="true" ht="19.5" hidden="false" customHeight="true" outlineLevel="0" collapsed="false">
      <c r="C18" s="186"/>
      <c r="D18" s="42"/>
      <c r="E18" s="42"/>
      <c r="F18" s="187"/>
      <c r="G18" s="191" t="str">
        <f aca="false">공사정보_출력X!D8</f>
        <v>031-000-0001</v>
      </c>
      <c r="H18" s="191"/>
      <c r="I18" s="191"/>
      <c r="J18" s="191"/>
      <c r="K18" s="191"/>
      <c r="L18" s="191"/>
      <c r="M18" s="191"/>
      <c r="Q18" s="191" t="str">
        <f aca="false">공사정보_출력X!D6</f>
        <v>031-000-0000</v>
      </c>
      <c r="R18" s="191"/>
      <c r="S18" s="191"/>
      <c r="T18" s="191"/>
      <c r="U18" s="191"/>
      <c r="V18" s="191"/>
      <c r="W18" s="191"/>
    </row>
    <row r="19" s="173" customFormat="true" ht="19.5" hidden="false" customHeight="true" outlineLevel="0" collapsed="false">
      <c r="C19" s="186"/>
      <c r="D19" s="42"/>
      <c r="E19" s="42"/>
      <c r="F19" s="187"/>
      <c r="Q19" s="186"/>
    </row>
    <row r="20" s="173" customFormat="true" ht="19.5" hidden="false" customHeight="true" outlineLevel="0" collapsed="false">
      <c r="C20" s="186"/>
      <c r="D20" s="42"/>
      <c r="E20" s="42"/>
      <c r="F20" s="187"/>
    </row>
    <row r="21" s="173" customFormat="true" ht="19.5" hidden="false" customHeight="true" outlineLevel="0" collapsed="false">
      <c r="C21" s="186"/>
      <c r="D21" s="42"/>
      <c r="E21" s="42"/>
      <c r="F21" s="187"/>
      <c r="K21" s="192" t="s">
        <v>20</v>
      </c>
      <c r="L21" s="192"/>
      <c r="M21" s="192"/>
      <c r="N21" s="192"/>
      <c r="O21" s="192"/>
      <c r="P21" s="192"/>
      <c r="Q21" s="192"/>
      <c r="R21" s="192"/>
      <c r="S21" s="192"/>
    </row>
    <row r="22" s="173" customFormat="true" ht="19.5" hidden="false" customHeight="true" outlineLevel="0" collapsed="false">
      <c r="C22" s="186"/>
      <c r="D22" s="42"/>
      <c r="E22" s="42"/>
      <c r="F22" s="187"/>
      <c r="K22" s="193" t="str">
        <f aca="false">공사정보_출력X!C13</f>
        <v>홍길동</v>
      </c>
      <c r="L22" s="193"/>
      <c r="M22" s="193"/>
      <c r="N22" s="193"/>
      <c r="O22" s="193"/>
      <c r="P22" s="193"/>
      <c r="Q22" s="193"/>
      <c r="R22" s="193"/>
      <c r="S22" s="193"/>
    </row>
    <row r="23" s="173" customFormat="true" ht="19.5" hidden="false" customHeight="true" outlineLevel="0" collapsed="false">
      <c r="C23" s="186"/>
      <c r="D23" s="42"/>
      <c r="E23" s="42"/>
      <c r="F23" s="187"/>
      <c r="K23" s="191" t="str">
        <f aca="false">공사정보_출력X!E13</f>
        <v>010-1234-5678</v>
      </c>
      <c r="L23" s="191"/>
      <c r="M23" s="191"/>
      <c r="N23" s="191"/>
      <c r="O23" s="191"/>
      <c r="P23" s="191"/>
      <c r="Q23" s="191"/>
      <c r="R23" s="191"/>
      <c r="S23" s="191"/>
    </row>
    <row r="24" s="173" customFormat="true" ht="19.5" hidden="false" customHeight="true" outlineLevel="0" collapsed="false">
      <c r="C24" s="186"/>
      <c r="D24" s="42"/>
      <c r="E24" s="42"/>
      <c r="F24" s="187"/>
    </row>
    <row r="25" s="173" customFormat="true" ht="19.5" hidden="false" customHeight="true" outlineLevel="0" collapsed="false">
      <c r="C25" s="186"/>
      <c r="D25" s="42"/>
      <c r="E25" s="42"/>
      <c r="F25" s="187"/>
    </row>
    <row r="26" s="173" customFormat="true" ht="19.5" hidden="false" customHeight="true" outlineLevel="0" collapsed="false">
      <c r="C26" s="186"/>
      <c r="D26" s="42"/>
      <c r="E26" s="42"/>
      <c r="F26" s="187"/>
      <c r="K26" s="192" t="s">
        <v>92</v>
      </c>
      <c r="L26" s="192"/>
      <c r="M26" s="192"/>
      <c r="N26" s="192"/>
      <c r="O26" s="192"/>
      <c r="P26" s="192"/>
      <c r="Q26" s="192"/>
      <c r="R26" s="192"/>
      <c r="S26" s="192"/>
    </row>
    <row r="27" s="173" customFormat="true" ht="19.5" hidden="false" customHeight="true" outlineLevel="0" collapsed="false">
      <c r="C27" s="186"/>
      <c r="D27" s="42"/>
      <c r="E27" s="42"/>
      <c r="F27" s="187"/>
      <c r="K27" s="193" t="str">
        <f aca="false">공사정보_출력X!C13</f>
        <v>홍길동</v>
      </c>
      <c r="L27" s="193"/>
      <c r="M27" s="193"/>
      <c r="N27" s="193"/>
      <c r="O27" s="193"/>
      <c r="P27" s="193"/>
      <c r="Q27" s="193"/>
      <c r="R27" s="193"/>
      <c r="S27" s="193"/>
    </row>
    <row r="28" s="173" customFormat="true" ht="19.5" hidden="false" customHeight="true" outlineLevel="0" collapsed="false">
      <c r="C28" s="186"/>
      <c r="D28" s="42"/>
      <c r="E28" s="42"/>
      <c r="F28" s="187"/>
      <c r="K28" s="191" t="str">
        <f aca="false">공사정보_출력X!E13</f>
        <v>010-1234-5678</v>
      </c>
      <c r="L28" s="191"/>
      <c r="M28" s="191"/>
      <c r="N28" s="191"/>
      <c r="O28" s="191"/>
      <c r="P28" s="191"/>
      <c r="Q28" s="191"/>
      <c r="R28" s="191"/>
      <c r="S28" s="191"/>
    </row>
    <row r="29" s="173" customFormat="true" ht="19.5" hidden="false" customHeight="true" outlineLevel="0" collapsed="false">
      <c r="C29" s="186"/>
      <c r="D29" s="42"/>
      <c r="E29" s="42"/>
      <c r="F29" s="187"/>
    </row>
    <row r="30" s="173" customFormat="true" ht="19.5" hidden="false" customHeight="true" outlineLevel="0" collapsed="false">
      <c r="C30" s="186"/>
      <c r="D30" s="42"/>
      <c r="E30" s="42"/>
      <c r="F30" s="187"/>
    </row>
    <row r="31" s="173" customFormat="true" ht="19.5" hidden="false" customHeight="true" outlineLevel="0" collapsed="false">
      <c r="C31" s="186"/>
      <c r="D31" s="42"/>
      <c r="E31" s="42"/>
      <c r="F31" s="187"/>
    </row>
    <row r="32" s="173" customFormat="true" ht="19.5" hidden="false" customHeight="true" outlineLevel="0" collapsed="false">
      <c r="C32" s="186"/>
      <c r="D32" s="42"/>
      <c r="E32" s="42"/>
      <c r="F32" s="187"/>
    </row>
    <row r="33" s="173" customFormat="true" ht="19.5" hidden="false" customHeight="true" outlineLevel="0" collapsed="false">
      <c r="C33" s="186"/>
      <c r="D33" s="42"/>
      <c r="E33" s="42"/>
      <c r="F33" s="187"/>
    </row>
    <row r="34" s="173" customFormat="true" ht="19.5" hidden="false" customHeight="true" outlineLevel="0" collapsed="false">
      <c r="C34" s="186"/>
      <c r="D34" s="42"/>
      <c r="E34" s="42"/>
      <c r="F34" s="187"/>
    </row>
    <row r="35" s="173" customFormat="true" ht="15" hidden="false" customHeight="true" outlineLevel="0" collapsed="false">
      <c r="B35" s="172"/>
    </row>
    <row r="36" s="173" customFormat="true" ht="15" hidden="false" customHeight="true" outlineLevel="0" collapsed="false">
      <c r="B36" s="172"/>
    </row>
    <row r="37" s="173" customFormat="true" ht="15" hidden="false" customHeight="true" outlineLevel="0" collapsed="false">
      <c r="B37" s="172"/>
    </row>
    <row r="38" s="173" customFormat="true" ht="15" hidden="false" customHeight="true" outlineLevel="0" collapsed="false">
      <c r="B38" s="172"/>
    </row>
    <row r="39" s="173" customFormat="true" ht="15" hidden="false" customHeight="true" outlineLevel="0" collapsed="false">
      <c r="B39" s="172"/>
    </row>
    <row r="40" customFormat="false" ht="15" hidden="false" customHeight="true" outlineLevel="0" collapsed="false">
      <c r="B40" s="172" t="s">
        <v>137</v>
      </c>
    </row>
    <row r="41" customFormat="false" ht="15" hidden="false" customHeight="true" outlineLevel="0" collapsed="false">
      <c r="C41" s="186" t="s">
        <v>138</v>
      </c>
    </row>
    <row r="42" customFormat="false" ht="15" hidden="false" customHeight="true" outlineLevel="0" collapsed="false">
      <c r="C42" s="186" t="s">
        <v>139</v>
      </c>
    </row>
    <row r="43" customFormat="false" ht="15" hidden="false" customHeight="true" outlineLevel="0" collapsed="false">
      <c r="C43" s="194" t="s">
        <v>140</v>
      </c>
    </row>
    <row r="44" customFormat="false" ht="15" hidden="false" customHeight="true" outlineLevel="0" collapsed="false">
      <c r="C44" s="186" t="s">
        <v>141</v>
      </c>
    </row>
    <row r="45" customFormat="false" ht="15" hidden="false" customHeight="true" outlineLevel="0" collapsed="false">
      <c r="C45" s="186"/>
    </row>
    <row r="46" customFormat="false" ht="15" hidden="false" customHeight="true" outlineLevel="0" collapsed="false">
      <c r="B46" s="172" t="s">
        <v>142</v>
      </c>
    </row>
    <row r="47" customFormat="false" ht="15" hidden="false" customHeight="true" outlineLevel="0" collapsed="false">
      <c r="C47" s="186" t="s">
        <v>143</v>
      </c>
    </row>
    <row r="48" customFormat="false" ht="15" hidden="false" customHeight="true" outlineLevel="0" collapsed="false">
      <c r="C48" s="186" t="s">
        <v>144</v>
      </c>
    </row>
    <row r="49" customFormat="false" ht="15" hidden="false" customHeight="true" outlineLevel="0" collapsed="false">
      <c r="C49" s="186"/>
    </row>
    <row r="50" customFormat="false" ht="15" hidden="false" customHeight="true" outlineLevel="0" collapsed="false">
      <c r="B50" s="172" t="s">
        <v>145</v>
      </c>
    </row>
    <row r="51" customFormat="false" ht="4.5" hidden="false" customHeight="true" outlineLevel="0" collapsed="false">
      <c r="B51" s="172"/>
    </row>
    <row r="52" customFormat="false" ht="15" hidden="false" customHeight="true" outlineLevel="0" collapsed="false">
      <c r="B52" s="186" t="s">
        <v>146</v>
      </c>
    </row>
    <row r="53" customFormat="false" ht="15" hidden="false" customHeight="true" outlineLevel="0" collapsed="false">
      <c r="C53" s="195" t="s">
        <v>147</v>
      </c>
    </row>
    <row r="54" customFormat="false" ht="15" hidden="false" customHeight="true" outlineLevel="0" collapsed="false">
      <c r="C54" s="196" t="s">
        <v>148</v>
      </c>
    </row>
    <row r="55" customFormat="false" ht="15" hidden="false" customHeight="true" outlineLevel="0" collapsed="false">
      <c r="C55" s="196" t="s">
        <v>149</v>
      </c>
    </row>
    <row r="56" customFormat="false" ht="15" hidden="false" customHeight="true" outlineLevel="0" collapsed="false">
      <c r="C56" s="195" t="s">
        <v>150</v>
      </c>
    </row>
    <row r="57" customFormat="false" ht="15" hidden="false" customHeight="true" outlineLevel="0" collapsed="false">
      <c r="C57" s="196" t="s">
        <v>151</v>
      </c>
    </row>
    <row r="58" customFormat="false" ht="15" hidden="false" customHeight="true" outlineLevel="0" collapsed="false">
      <c r="C58" s="196" t="s">
        <v>152</v>
      </c>
    </row>
    <row r="59" customFormat="false" ht="4.5" hidden="false" customHeight="true" outlineLevel="0" collapsed="false">
      <c r="C59" s="196"/>
    </row>
    <row r="60" customFormat="false" ht="15" hidden="false" customHeight="true" outlineLevel="0" collapsed="false">
      <c r="B60" s="186" t="s">
        <v>153</v>
      </c>
    </row>
    <row r="61" customFormat="false" ht="15" hidden="false" customHeight="true" outlineLevel="0" collapsed="false">
      <c r="C61" s="196" t="s">
        <v>154</v>
      </c>
    </row>
    <row r="62" customFormat="false" ht="15" hidden="false" customHeight="true" outlineLevel="0" collapsed="false">
      <c r="D62" s="186" t="s">
        <v>155</v>
      </c>
    </row>
    <row r="63" customFormat="false" ht="15" hidden="false" customHeight="true" outlineLevel="0" collapsed="false">
      <c r="D63" s="197" t="s">
        <v>156</v>
      </c>
    </row>
    <row r="64" customFormat="false" ht="15" hidden="false" customHeight="true" outlineLevel="0" collapsed="false">
      <c r="D64" s="197" t="s">
        <v>157</v>
      </c>
    </row>
    <row r="65" customFormat="false" ht="15" hidden="false" customHeight="true" outlineLevel="0" collapsed="false">
      <c r="D65" s="186" t="s">
        <v>158</v>
      </c>
    </row>
    <row r="66" customFormat="false" ht="15" hidden="false" customHeight="true" outlineLevel="0" collapsed="false">
      <c r="D66" s="186" t="s">
        <v>159</v>
      </c>
    </row>
    <row r="67" customFormat="false" ht="15" hidden="false" customHeight="true" outlineLevel="0" collapsed="false">
      <c r="D67" s="197" t="s">
        <v>160</v>
      </c>
    </row>
    <row r="68" customFormat="false" ht="15" hidden="false" customHeight="true" outlineLevel="0" collapsed="false">
      <c r="D68" s="186" t="s">
        <v>161</v>
      </c>
    </row>
    <row r="69" customFormat="false" ht="15" hidden="false" customHeight="true" outlineLevel="0" collapsed="false">
      <c r="D69" s="197" t="s">
        <v>162</v>
      </c>
    </row>
    <row r="70" customFormat="false" ht="4.5" hidden="false" customHeight="true" outlineLevel="0" collapsed="false">
      <c r="D70" s="197"/>
    </row>
    <row r="71" customFormat="false" ht="15" hidden="false" customHeight="true" outlineLevel="0" collapsed="false">
      <c r="C71" s="196" t="s">
        <v>163</v>
      </c>
    </row>
    <row r="72" customFormat="false" ht="15" hidden="false" customHeight="true" outlineLevel="0" collapsed="false">
      <c r="D72" s="186" t="s">
        <v>164</v>
      </c>
    </row>
    <row r="73" customFormat="false" ht="15" hidden="false" customHeight="true" outlineLevel="0" collapsed="false">
      <c r="D73" s="186" t="s">
        <v>165</v>
      </c>
    </row>
    <row r="74" customFormat="false" ht="15" hidden="false" customHeight="true" outlineLevel="0" collapsed="false">
      <c r="D74" s="186" t="s">
        <v>166</v>
      </c>
    </row>
    <row r="75" customFormat="false" ht="15" hidden="false" customHeight="true" outlineLevel="0" collapsed="false">
      <c r="D75" s="186" t="s">
        <v>167</v>
      </c>
    </row>
    <row r="76" customFormat="false" ht="15" hidden="false" customHeight="true" outlineLevel="0" collapsed="false">
      <c r="D76" s="186" t="s">
        <v>168</v>
      </c>
    </row>
    <row r="77" customFormat="false" ht="15" hidden="false" customHeight="true" outlineLevel="0" collapsed="false">
      <c r="D77" s="197" t="s">
        <v>169</v>
      </c>
    </row>
    <row r="78" customFormat="false" ht="15" hidden="false" customHeight="true" outlineLevel="0" collapsed="false">
      <c r="D78" s="186" t="s">
        <v>170</v>
      </c>
    </row>
    <row r="79" customFormat="false" ht="15" hidden="false" customHeight="true" outlineLevel="0" collapsed="false">
      <c r="D79" s="186" t="s">
        <v>171</v>
      </c>
    </row>
    <row r="80" customFormat="false" ht="15" hidden="false" customHeight="true" outlineLevel="0" collapsed="false">
      <c r="D80" s="186" t="s">
        <v>172</v>
      </c>
    </row>
    <row r="81" customFormat="false" ht="16.5" hidden="false" customHeight="true" outlineLevel="0" collapsed="false">
      <c r="D81" s="194" t="s">
        <v>173</v>
      </c>
    </row>
    <row r="82" customFormat="false" ht="16.5" hidden="false" customHeight="true" outlineLevel="0" collapsed="false">
      <c r="D82" s="194"/>
    </row>
    <row r="83" customFormat="false" ht="16.5" hidden="false" customHeight="true" outlineLevel="0" collapsed="false">
      <c r="D83" s="194"/>
    </row>
    <row r="84" customFormat="false" ht="16.5" hidden="false" customHeight="true" outlineLevel="0" collapsed="false">
      <c r="D84" s="194"/>
    </row>
    <row r="85" customFormat="false" ht="16.5" hidden="false" customHeight="true" outlineLevel="0" collapsed="false">
      <c r="D85" s="194"/>
    </row>
    <row r="86" customFormat="false" ht="16.5" hidden="false" customHeight="true" outlineLevel="0" collapsed="false">
      <c r="D86" s="194"/>
    </row>
    <row r="87" customFormat="false" ht="16.5" hidden="false" customHeight="true" outlineLevel="0" collapsed="false">
      <c r="D87" s="194"/>
    </row>
  </sheetData>
  <mergeCells count="23">
    <mergeCell ref="C6:F7"/>
    <mergeCell ref="G6:Z7"/>
    <mergeCell ref="C8:F8"/>
    <mergeCell ref="G8:Z8"/>
    <mergeCell ref="C9:F9"/>
    <mergeCell ref="G9:Z9"/>
    <mergeCell ref="C10:F10"/>
    <mergeCell ref="G10:O10"/>
    <mergeCell ref="Q10:Z10"/>
    <mergeCell ref="C11:F11"/>
    <mergeCell ref="G11:Z11"/>
    <mergeCell ref="G16:M16"/>
    <mergeCell ref="Q16:W16"/>
    <mergeCell ref="G17:M17"/>
    <mergeCell ref="Q17:W17"/>
    <mergeCell ref="G18:M18"/>
    <mergeCell ref="Q18:W18"/>
    <mergeCell ref="K21:S21"/>
    <mergeCell ref="K22:S22"/>
    <mergeCell ref="K23:S23"/>
    <mergeCell ref="K26:S26"/>
    <mergeCell ref="K27:S27"/>
    <mergeCell ref="K28:S28"/>
  </mergeCells>
  <printOptions headings="false" gridLines="false" gridLinesSet="true" horizontalCentered="true" verticalCentered="false"/>
  <pageMargins left="0.511805555555556" right="0.511805555555556" top="0.747916666666667" bottom="0.551388888888889" header="0.511811023622047" footer="0.315277777777778"/>
  <pageSetup paperSize="9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&amp;R품질관리계획&amp;P/&amp;N</oddFooter>
  </headerFooter>
  <rowBreaks count="1" manualBreakCount="1">
    <brk id="38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false" showOutlineSymbols="true" defaultGridColor="true" view="pageBreakPreview" topLeftCell="A8" colorId="64" zoomScale="100" zoomScaleNormal="100" zoomScalePageLayoutView="100" workbookViewId="0">
      <selection pane="topLeft" activeCell="M30" activeCellId="0" sqref="M30"/>
    </sheetView>
  </sheetViews>
  <sheetFormatPr defaultColWidth="8.75" defaultRowHeight="16.5" zeroHeight="false" outlineLevelRow="0" outlineLevelCol="0"/>
  <cols>
    <col collapsed="false" customWidth="true" hidden="false" outlineLevel="0" max="1" min="1" style="42" width="2.88"/>
    <col collapsed="false" customWidth="true" hidden="false" outlineLevel="0" max="2" min="2" style="42" width="17.13"/>
    <col collapsed="false" customWidth="true" hidden="false" outlineLevel="0" max="3" min="3" style="42" width="2.5"/>
    <col collapsed="false" customWidth="true" hidden="false" outlineLevel="0" max="4" min="4" style="42" width="11.75"/>
    <col collapsed="false" customWidth="true" hidden="false" outlineLevel="0" max="5" min="5" style="42" width="2.13"/>
    <col collapsed="false" customWidth="true" hidden="false" outlineLevel="0" max="6" min="6" style="42" width="16"/>
    <col collapsed="false" customWidth="true" hidden="false" outlineLevel="0" max="7" min="7" style="42" width="25.75"/>
    <col collapsed="false" customWidth="true" hidden="false" outlineLevel="0" max="8" min="8" style="42" width="2.13"/>
    <col collapsed="false" customWidth="false" hidden="false" outlineLevel="0" max="16384" min="9" style="42" width="8.75"/>
  </cols>
  <sheetData>
    <row r="1" customFormat="false" ht="39.75" hidden="false" customHeight="true" outlineLevel="0" collapsed="false">
      <c r="B1" s="50" t="s">
        <v>174</v>
      </c>
      <c r="C1" s="50"/>
      <c r="D1" s="50"/>
      <c r="E1" s="50"/>
      <c r="F1" s="50"/>
      <c r="G1" s="50"/>
      <c r="H1" s="51"/>
    </row>
    <row r="2" customFormat="false" ht="15" hidden="false" customHeight="true" outlineLevel="0" collapsed="false">
      <c r="B2" s="52"/>
      <c r="C2" s="52"/>
      <c r="D2" s="52"/>
      <c r="E2" s="52"/>
      <c r="F2" s="52"/>
      <c r="G2" s="52"/>
      <c r="H2" s="51"/>
    </row>
    <row r="3" customFormat="false" ht="27.75" hidden="false" customHeight="true" outlineLevel="0" collapsed="false">
      <c r="B3" s="53" t="s">
        <v>0</v>
      </c>
      <c r="C3" s="54" t="s">
        <v>63</v>
      </c>
      <c r="D3" s="55" t="str">
        <f aca="false">공사정보_출력X!C2</f>
        <v>(예시) OO부대 시설물 보수공사</v>
      </c>
      <c r="E3" s="55"/>
      <c r="F3" s="55"/>
      <c r="G3" s="55"/>
    </row>
    <row r="4" customFormat="false" ht="27.75" hidden="false" customHeight="true" outlineLevel="0" collapsed="false">
      <c r="B4" s="53" t="s">
        <v>64</v>
      </c>
      <c r="C4" s="54" t="s">
        <v>63</v>
      </c>
      <c r="D4" s="56" t="e">
        <f aca="false">"일금 "&amp;numberstring(공사정보_출력X!C9,1)&amp;"원정 ("&amp;DOLLAR(공사정보_출력X!C9,0)&amp;") "</f>
        <v>#NAME?</v>
      </c>
      <c r="E4" s="56"/>
      <c r="F4" s="56"/>
      <c r="G4" s="56"/>
    </row>
    <row r="5" customFormat="false" ht="27.75" hidden="false" customHeight="true" outlineLevel="0" collapsed="false">
      <c r="B5" s="53" t="s">
        <v>119</v>
      </c>
      <c r="C5" s="54" t="s">
        <v>63</v>
      </c>
      <c r="D5" s="58" t="str">
        <f aca="false">공사정보_출력X!C6</f>
        <v>주식회사 가상건설</v>
      </c>
      <c r="E5" s="58"/>
      <c r="F5" s="58"/>
      <c r="G5" s="59"/>
    </row>
    <row r="6" customFormat="false" ht="27.75" hidden="false" customHeight="true" outlineLevel="0" collapsed="false">
      <c r="B6" s="53" t="s">
        <v>18</v>
      </c>
      <c r="C6" s="54" t="s">
        <v>63</v>
      </c>
      <c r="D6" s="58" t="n">
        <f aca="false">공사정보_출력X!C11</f>
        <v>46029</v>
      </c>
      <c r="E6" s="58"/>
      <c r="F6" s="58"/>
      <c r="G6" s="59"/>
    </row>
    <row r="7" customFormat="false" ht="27.75" hidden="false" customHeight="true" outlineLevel="0" collapsed="false">
      <c r="B7" s="53" t="s">
        <v>19</v>
      </c>
      <c r="C7" s="54" t="s">
        <v>63</v>
      </c>
      <c r="D7" s="58" t="n">
        <f aca="false">공사정보_출력X!C12</f>
        <v>46073</v>
      </c>
      <c r="E7" s="58"/>
      <c r="F7" s="58"/>
      <c r="G7" s="59"/>
    </row>
    <row r="8" customFormat="false" ht="24.75" hidden="false" customHeight="true" outlineLevel="0" collapsed="false"/>
    <row r="9" customFormat="false" ht="24.75" hidden="false" customHeight="true" outlineLevel="0" collapsed="false"/>
    <row r="10" customFormat="false" ht="24.75" hidden="false" customHeight="true" outlineLevel="0" collapsed="false"/>
    <row r="11" customFormat="false" ht="24.75" hidden="false" customHeight="true" outlineLevel="0" collapsed="false"/>
    <row r="12" customFormat="false" ht="30" hidden="false" customHeight="true" outlineLevel="0" collapsed="false">
      <c r="B12" s="60" t="s">
        <v>175</v>
      </c>
    </row>
    <row r="13" customFormat="false" ht="24" hidden="false" customHeight="true" outlineLevel="0" collapsed="false">
      <c r="B13" s="61"/>
    </row>
    <row r="14" customFormat="false" ht="24" hidden="false" customHeight="true" outlineLevel="0" collapsed="false">
      <c r="B14" s="61"/>
    </row>
    <row r="15" customFormat="false" ht="24" hidden="false" customHeight="true" outlineLevel="0" collapsed="false">
      <c r="B15" s="61"/>
    </row>
    <row r="16" customFormat="false" ht="24" hidden="false" customHeight="true" outlineLevel="0" collapsed="false">
      <c r="B16" s="61"/>
    </row>
    <row r="17" customFormat="false" ht="24.75" hidden="false" customHeight="true" outlineLevel="0" collapsed="false">
      <c r="B17" s="62" t="s">
        <v>66</v>
      </c>
      <c r="C17" s="42" t="s">
        <v>176</v>
      </c>
    </row>
    <row r="18" customFormat="false" ht="24.75" hidden="false" customHeight="true" outlineLevel="0" collapsed="false">
      <c r="B18" s="61"/>
    </row>
    <row r="19" customFormat="false" ht="24.75" hidden="false" customHeight="true" outlineLevel="0" collapsed="false">
      <c r="B19" s="61"/>
    </row>
    <row r="20" customFormat="false" ht="30" hidden="false" customHeight="true" outlineLevel="0" collapsed="false">
      <c r="B20" s="169" t="n">
        <f aca="false">공사정보_출력X!C5</f>
        <v>46035</v>
      </c>
      <c r="C20" s="169"/>
      <c r="D20" s="169"/>
      <c r="E20" s="169"/>
      <c r="F20" s="169"/>
      <c r="G20" s="169"/>
      <c r="H20" s="54"/>
    </row>
    <row r="21" customFormat="false" ht="30" hidden="false" customHeight="true" outlineLevel="0" collapsed="false">
      <c r="B21" s="75"/>
      <c r="C21" s="54"/>
      <c r="D21" s="54"/>
      <c r="E21" s="54"/>
      <c r="F21" s="54"/>
      <c r="G21" s="54"/>
      <c r="H21" s="54"/>
    </row>
    <row r="22" customFormat="false" ht="30" hidden="false" customHeight="true" outlineLevel="0" collapsed="false">
      <c r="B22" s="64"/>
    </row>
    <row r="23" customFormat="false" ht="30" hidden="false" customHeight="true" outlineLevel="0" collapsed="false">
      <c r="D23" s="53" t="s">
        <v>122</v>
      </c>
      <c r="E23" s="54" t="s">
        <v>63</v>
      </c>
      <c r="F23" s="79" t="str">
        <f aca="false">공사정보_출력X!E6</f>
        <v>OO도 OO시 OO구 OO로 00 (OO동) OOO호</v>
      </c>
      <c r="G23" s="79"/>
    </row>
    <row r="24" customFormat="false" ht="30" hidden="false" customHeight="true" outlineLevel="0" collapsed="false">
      <c r="D24" s="53" t="s">
        <v>123</v>
      </c>
      <c r="E24" s="54" t="s">
        <v>63</v>
      </c>
      <c r="F24" s="65" t="str">
        <f aca="false">"현장대리인           "&amp;공사정보_출력X!C13&amp;"   (인)"</f>
        <v>현장대리인           홍길동   (인)</v>
      </c>
      <c r="G24" s="65"/>
    </row>
    <row r="25" customFormat="false" ht="30" hidden="false" customHeight="true" outlineLevel="0" collapsed="false">
      <c r="D25" s="53" t="s">
        <v>124</v>
      </c>
      <c r="E25" s="54" t="s">
        <v>63</v>
      </c>
      <c r="F25" s="170" t="s">
        <v>125</v>
      </c>
      <c r="G25" s="170"/>
    </row>
    <row r="26" customFormat="false" ht="30" hidden="false" customHeight="true" outlineLevel="0" collapsed="false"/>
    <row r="27" customFormat="false" ht="30" hidden="false" customHeight="true" outlineLevel="0" collapsed="false">
      <c r="B27" s="66" t="str">
        <f aca="false">공사정보_출력X!C8</f>
        <v>OO부대</v>
      </c>
      <c r="C27" s="66"/>
      <c r="D27" s="66"/>
    </row>
    <row r="28" customFormat="false" ht="14.25" hidden="false" customHeight="true" outlineLevel="0" collapsed="false"/>
  </sheetData>
  <mergeCells count="10">
    <mergeCell ref="B1:G1"/>
    <mergeCell ref="D3:G3"/>
    <mergeCell ref="D4:G4"/>
    <mergeCell ref="D5:F5"/>
    <mergeCell ref="D6:F6"/>
    <mergeCell ref="D7:F7"/>
    <mergeCell ref="B20:G20"/>
    <mergeCell ref="F23:G23"/>
    <mergeCell ref="F24:G24"/>
    <mergeCell ref="F25:G25"/>
  </mergeCells>
  <printOptions headings="false" gridLines="false" gridLinesSet="true" horizontalCentered="true" verticalCentered="false"/>
  <pageMargins left="0.7875" right="0.7875" top="0.984027777777778" bottom="0.590277777777778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404"/>
  <sheetViews>
    <sheetView showFormulas="false" showGridLines="false" showRowColHeaders="true" showZeros="true" rightToLeft="false" tabSelected="false" showOutlineSymbols="true" defaultGridColor="true" view="pageBreakPreview" topLeftCell="A375" colorId="64" zoomScale="100" zoomScaleNormal="100" zoomScalePageLayoutView="100" workbookViewId="0">
      <selection pane="topLeft" activeCell="AB413" activeCellId="0" sqref="AB413"/>
    </sheetView>
  </sheetViews>
  <sheetFormatPr defaultColWidth="9" defaultRowHeight="13.5" zeroHeight="false" outlineLevelRow="0" outlineLevelCol="0"/>
  <cols>
    <col collapsed="false" customWidth="true" hidden="false" outlineLevel="0" max="27" min="1" style="173" width="3.13"/>
    <col collapsed="false" customWidth="false" hidden="false" outlineLevel="0" max="16384" min="28" style="173" width="9"/>
  </cols>
  <sheetData>
    <row r="1" customFormat="false" ht="15" hidden="false" customHeight="true" outlineLevel="0" collapsed="false"/>
    <row r="2" customFormat="false" ht="24" hidden="false" customHeight="true" outlineLevel="0" collapsed="false">
      <c r="B2" s="171" t="s">
        <v>177</v>
      </c>
      <c r="C2" s="42"/>
      <c r="D2" s="42"/>
      <c r="E2" s="42"/>
      <c r="F2" s="42"/>
    </row>
    <row r="3" customFormat="false" ht="15" hidden="false" customHeight="true" outlineLevel="0" collapsed="false">
      <c r="B3" s="171"/>
      <c r="C3" s="42"/>
      <c r="D3" s="42"/>
      <c r="E3" s="42"/>
      <c r="F3" s="42"/>
    </row>
    <row r="4" customFormat="false" ht="15" hidden="false" customHeight="true" outlineLevel="0" collapsed="false">
      <c r="B4" s="172" t="s">
        <v>178</v>
      </c>
      <c r="C4" s="42"/>
      <c r="D4" s="42"/>
      <c r="E4" s="42"/>
      <c r="F4" s="42"/>
    </row>
    <row r="5" customFormat="false" ht="15" hidden="false" customHeight="true" outlineLevel="0" collapsed="false">
      <c r="B5" s="171"/>
      <c r="C5" s="42"/>
      <c r="D5" s="42"/>
      <c r="E5" s="42"/>
      <c r="F5" s="42"/>
    </row>
    <row r="6" customFormat="false" ht="19.5" hidden="false" customHeight="true" outlineLevel="0" collapsed="false">
      <c r="C6" s="198" t="s">
        <v>179</v>
      </c>
      <c r="D6" s="198"/>
      <c r="E6" s="198"/>
      <c r="F6" s="198"/>
      <c r="G6" s="198"/>
      <c r="H6" s="198"/>
      <c r="I6" s="198"/>
      <c r="J6" s="198"/>
      <c r="K6" s="187"/>
      <c r="L6" s="198" t="s">
        <v>180</v>
      </c>
      <c r="M6" s="198"/>
      <c r="N6" s="198"/>
      <c r="O6" s="198"/>
      <c r="P6" s="198"/>
      <c r="Q6" s="198"/>
      <c r="S6" s="199" t="s">
        <v>181</v>
      </c>
      <c r="T6" s="199"/>
      <c r="V6" s="199" t="s">
        <v>182</v>
      </c>
      <c r="W6" s="199"/>
      <c r="X6" s="199"/>
    </row>
    <row r="7" customFormat="false" ht="19.5" hidden="false" customHeight="true" outlineLevel="0" collapsed="false">
      <c r="C7" s="200" t="s">
        <v>183</v>
      </c>
      <c r="D7" s="200"/>
      <c r="E7" s="200"/>
      <c r="F7" s="200"/>
      <c r="G7" s="200"/>
      <c r="H7" s="200"/>
      <c r="I7" s="200"/>
      <c r="J7" s="200"/>
      <c r="K7" s="201"/>
      <c r="L7" s="202" t="s">
        <v>184</v>
      </c>
      <c r="M7" s="202"/>
      <c r="N7" s="202"/>
      <c r="O7" s="202"/>
      <c r="P7" s="202"/>
      <c r="Q7" s="202"/>
      <c r="R7" s="203"/>
      <c r="S7" s="199"/>
      <c r="T7" s="199"/>
      <c r="U7" s="203"/>
      <c r="V7" s="199"/>
      <c r="W7" s="199"/>
      <c r="X7" s="199"/>
    </row>
    <row r="8" customFormat="false" ht="19.5" hidden="false" customHeight="true" outlineLevel="0" collapsed="false">
      <c r="C8" s="200" t="s">
        <v>185</v>
      </c>
      <c r="D8" s="200"/>
      <c r="E8" s="200"/>
      <c r="F8" s="200"/>
      <c r="G8" s="200"/>
      <c r="H8" s="200"/>
      <c r="I8" s="200"/>
      <c r="J8" s="200"/>
      <c r="K8" s="187"/>
      <c r="L8" s="200" t="s">
        <v>186</v>
      </c>
      <c r="M8" s="200"/>
      <c r="N8" s="200"/>
      <c r="O8" s="200"/>
      <c r="P8" s="200"/>
      <c r="Q8" s="200"/>
      <c r="S8" s="199"/>
      <c r="T8" s="199"/>
      <c r="V8" s="199"/>
      <c r="W8" s="199"/>
      <c r="X8" s="199"/>
    </row>
    <row r="9" customFormat="false" ht="19.5" hidden="false" customHeight="true" outlineLevel="0" collapsed="false">
      <c r="C9" s="204" t="s">
        <v>187</v>
      </c>
      <c r="D9" s="204"/>
      <c r="E9" s="204"/>
      <c r="F9" s="204"/>
      <c r="G9" s="204"/>
      <c r="H9" s="204"/>
      <c r="I9" s="204"/>
      <c r="J9" s="204"/>
      <c r="K9" s="187"/>
      <c r="L9" s="204" t="s">
        <v>188</v>
      </c>
      <c r="M9" s="204"/>
      <c r="N9" s="204"/>
      <c r="O9" s="204"/>
      <c r="P9" s="204"/>
      <c r="Q9" s="204"/>
      <c r="S9" s="199"/>
      <c r="T9" s="199"/>
      <c r="V9" s="199"/>
      <c r="W9" s="199"/>
      <c r="X9" s="199"/>
    </row>
    <row r="10" customFormat="false" ht="19.5" hidden="false" customHeight="true" outlineLevel="0" collapsed="false"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Q10" s="205"/>
      <c r="R10" s="205"/>
      <c r="T10" s="206"/>
      <c r="U10" s="206"/>
      <c r="V10" s="206"/>
    </row>
    <row r="11" customFormat="false" ht="15" hidden="false" customHeight="true" outlineLevel="0" collapsed="false">
      <c r="B11" s="172" t="s">
        <v>189</v>
      </c>
      <c r="C11" s="42"/>
      <c r="D11" s="42"/>
      <c r="E11" s="42"/>
      <c r="F11" s="42"/>
    </row>
    <row r="12" customFormat="false" ht="19.5" hidden="false" customHeight="true" outlineLevel="0" collapsed="false"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Q12" s="205"/>
      <c r="R12" s="205"/>
      <c r="T12" s="206"/>
      <c r="U12" s="206"/>
      <c r="V12" s="206"/>
    </row>
    <row r="13" customFormat="false" ht="19.5" hidden="false" customHeight="true" outlineLevel="0" collapsed="false"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Q13" s="205"/>
      <c r="R13" s="205"/>
      <c r="T13" s="206"/>
      <c r="U13" s="206"/>
      <c r="V13" s="206"/>
    </row>
    <row r="14" customFormat="false" ht="19.5" hidden="false" customHeight="true" outlineLevel="0" collapsed="false">
      <c r="C14" s="187"/>
      <c r="D14" s="187"/>
      <c r="E14" s="187"/>
      <c r="F14" s="188" t="s">
        <v>135</v>
      </c>
      <c r="G14" s="188"/>
      <c r="H14" s="188"/>
      <c r="I14" s="188"/>
      <c r="J14" s="188"/>
      <c r="K14" s="188"/>
      <c r="L14" s="188"/>
      <c r="O14" s="196"/>
      <c r="P14" s="188" t="s">
        <v>136</v>
      </c>
      <c r="Q14" s="188"/>
      <c r="R14" s="188"/>
      <c r="S14" s="188"/>
      <c r="T14" s="188"/>
      <c r="U14" s="188"/>
      <c r="V14" s="188"/>
    </row>
    <row r="15" customFormat="false" ht="19.5" hidden="false" customHeight="true" outlineLevel="0" collapsed="false">
      <c r="C15" s="187"/>
      <c r="D15" s="187"/>
      <c r="E15" s="187"/>
      <c r="F15" s="189" t="str">
        <f aca="false">공사정보_출력X!C8</f>
        <v>OO부대</v>
      </c>
      <c r="G15" s="189"/>
      <c r="H15" s="189"/>
      <c r="I15" s="189"/>
      <c r="J15" s="189"/>
      <c r="K15" s="189"/>
      <c r="L15" s="189"/>
      <c r="P15" s="190" t="str">
        <f aca="false">공사정보_출력X!C6</f>
        <v>주식회사 가상건설</v>
      </c>
      <c r="Q15" s="190"/>
      <c r="R15" s="190"/>
      <c r="S15" s="190"/>
      <c r="T15" s="190"/>
      <c r="U15" s="190"/>
      <c r="V15" s="190"/>
      <c r="AB15" s="173" t="s">
        <v>190</v>
      </c>
    </row>
    <row r="16" customFormat="false" ht="19.5" hidden="false" customHeight="true" outlineLevel="0" collapsed="false">
      <c r="C16" s="187"/>
      <c r="D16" s="187"/>
      <c r="E16" s="187"/>
      <c r="F16" s="191" t="str">
        <f aca="false">공사정보_출력X!D8</f>
        <v>031-000-0001</v>
      </c>
      <c r="G16" s="191"/>
      <c r="H16" s="191"/>
      <c r="I16" s="191"/>
      <c r="J16" s="191"/>
      <c r="K16" s="191"/>
      <c r="L16" s="191"/>
      <c r="P16" s="191" t="str">
        <f aca="false">공사정보_출력X!D6</f>
        <v>031-000-0000</v>
      </c>
      <c r="Q16" s="191"/>
      <c r="R16" s="191"/>
      <c r="S16" s="191"/>
      <c r="T16" s="191"/>
      <c r="U16" s="191"/>
      <c r="V16" s="191"/>
    </row>
    <row r="17" customFormat="false" ht="19.5" hidden="false" customHeight="true" outlineLevel="0" collapsed="false">
      <c r="C17" s="187"/>
      <c r="D17" s="187"/>
      <c r="E17" s="187"/>
      <c r="P17" s="196"/>
    </row>
    <row r="18" customFormat="false" ht="19.5" hidden="false" customHeight="true" outlineLevel="0" collapsed="false">
      <c r="C18" s="187"/>
      <c r="D18" s="187"/>
      <c r="E18" s="187"/>
    </row>
    <row r="19" customFormat="false" ht="19.5" hidden="false" customHeight="true" outlineLevel="0" collapsed="false">
      <c r="C19" s="187"/>
      <c r="D19" s="187"/>
      <c r="E19" s="187"/>
      <c r="J19" s="192" t="s">
        <v>20</v>
      </c>
      <c r="K19" s="192"/>
      <c r="L19" s="192"/>
      <c r="M19" s="192"/>
      <c r="N19" s="192"/>
      <c r="O19" s="192"/>
      <c r="P19" s="192"/>
      <c r="Q19" s="192"/>
      <c r="R19" s="192"/>
    </row>
    <row r="20" customFormat="false" ht="19.5" hidden="false" customHeight="true" outlineLevel="0" collapsed="false">
      <c r="C20" s="187"/>
      <c r="D20" s="187"/>
      <c r="E20" s="187"/>
      <c r="J20" s="193" t="str">
        <f aca="false">공사정보_출력X!C13</f>
        <v>홍길동</v>
      </c>
      <c r="K20" s="193"/>
      <c r="L20" s="193"/>
      <c r="M20" s="193"/>
      <c r="N20" s="193"/>
      <c r="O20" s="193"/>
      <c r="P20" s="193"/>
      <c r="Q20" s="193"/>
      <c r="R20" s="193"/>
    </row>
    <row r="21" customFormat="false" ht="19.5" hidden="false" customHeight="true" outlineLevel="0" collapsed="false">
      <c r="C21" s="187"/>
      <c r="D21" s="187"/>
      <c r="E21" s="187"/>
      <c r="J21" s="191" t="str">
        <f aca="false">공사정보_출력X!E13</f>
        <v>010-1234-5678</v>
      </c>
      <c r="K21" s="191"/>
      <c r="L21" s="191"/>
      <c r="M21" s="191"/>
      <c r="N21" s="191"/>
      <c r="O21" s="191"/>
      <c r="P21" s="191"/>
      <c r="Q21" s="191"/>
      <c r="R21" s="191"/>
    </row>
    <row r="22" customFormat="false" ht="19.5" hidden="false" customHeight="true" outlineLevel="0" collapsed="false">
      <c r="C22" s="187"/>
      <c r="D22" s="187"/>
      <c r="E22" s="187"/>
    </row>
    <row r="23" customFormat="false" ht="19.5" hidden="false" customHeight="true" outlineLevel="0" collapsed="false">
      <c r="C23" s="187"/>
      <c r="D23" s="187"/>
      <c r="E23" s="187"/>
    </row>
    <row r="24" customFormat="false" ht="19.5" hidden="false" customHeight="true" outlineLevel="0" collapsed="false">
      <c r="C24" s="187"/>
      <c r="D24" s="187"/>
      <c r="E24" s="187"/>
      <c r="J24" s="192" t="s">
        <v>87</v>
      </c>
      <c r="K24" s="192"/>
      <c r="L24" s="192"/>
      <c r="M24" s="192"/>
      <c r="N24" s="192"/>
      <c r="O24" s="192"/>
      <c r="P24" s="192"/>
      <c r="Q24" s="192"/>
      <c r="R24" s="192"/>
    </row>
    <row r="25" customFormat="false" ht="19.5" hidden="false" customHeight="true" outlineLevel="0" collapsed="false">
      <c r="C25" s="187"/>
      <c r="D25" s="187"/>
      <c r="E25" s="187"/>
      <c r="J25" s="193" t="str">
        <f aca="false">공사정보_출력X!C13</f>
        <v>홍길동</v>
      </c>
      <c r="K25" s="193"/>
      <c r="L25" s="193"/>
      <c r="M25" s="193"/>
      <c r="N25" s="193"/>
      <c r="O25" s="193"/>
      <c r="P25" s="193"/>
      <c r="Q25" s="193"/>
      <c r="R25" s="193"/>
    </row>
    <row r="26" customFormat="false" ht="19.5" hidden="false" customHeight="true" outlineLevel="0" collapsed="false">
      <c r="C26" s="187"/>
      <c r="D26" s="187"/>
      <c r="E26" s="187"/>
      <c r="J26" s="191" t="str">
        <f aca="false">공사정보_출력X!E13</f>
        <v>010-1234-5678</v>
      </c>
      <c r="K26" s="191"/>
      <c r="L26" s="191"/>
      <c r="M26" s="191"/>
      <c r="N26" s="191"/>
      <c r="O26" s="191"/>
      <c r="P26" s="191"/>
      <c r="Q26" s="191"/>
      <c r="R26" s="191"/>
    </row>
    <row r="27" customFormat="false" ht="19.5" hidden="false" customHeight="true" outlineLevel="0" collapsed="false">
      <c r="C27" s="187"/>
      <c r="D27" s="187"/>
      <c r="E27" s="187"/>
    </row>
    <row r="28" customFormat="false" ht="19.5" hidden="false" customHeight="true" outlineLevel="0" collapsed="false">
      <c r="C28" s="187"/>
      <c r="D28" s="187"/>
      <c r="E28" s="187"/>
    </row>
    <row r="29" customFormat="false" ht="19.5" hidden="false" customHeight="true" outlineLevel="0" collapsed="false">
      <c r="C29" s="187"/>
      <c r="D29" s="187"/>
      <c r="E29" s="187"/>
    </row>
    <row r="30" customFormat="false" ht="19.5" hidden="false" customHeight="true" outlineLevel="0" collapsed="false">
      <c r="C30" s="187"/>
      <c r="D30" s="187"/>
      <c r="E30" s="187"/>
      <c r="F30" s="207"/>
      <c r="G30" s="207"/>
      <c r="H30" s="207"/>
      <c r="I30" s="207"/>
      <c r="J30" s="207"/>
      <c r="K30" s="207"/>
      <c r="L30" s="207"/>
      <c r="P30" s="207"/>
      <c r="Q30" s="207"/>
      <c r="R30" s="207"/>
      <c r="S30" s="207"/>
      <c r="T30" s="207"/>
      <c r="U30" s="207"/>
      <c r="V30" s="207"/>
    </row>
    <row r="31" customFormat="false" ht="19.5" hidden="false" customHeight="true" outlineLevel="0" collapsed="false">
      <c r="C31" s="187"/>
      <c r="D31" s="187"/>
      <c r="E31" s="187"/>
      <c r="F31" s="208"/>
      <c r="G31" s="208"/>
      <c r="H31" s="208"/>
      <c r="I31" s="208"/>
      <c r="J31" s="208"/>
      <c r="K31" s="208"/>
      <c r="L31" s="208"/>
      <c r="P31" s="208"/>
      <c r="Q31" s="208"/>
      <c r="R31" s="208"/>
      <c r="S31" s="208"/>
      <c r="T31" s="208"/>
      <c r="U31" s="208"/>
      <c r="V31" s="208"/>
    </row>
    <row r="32" customFormat="false" ht="19.5" hidden="false" customHeight="true" outlineLevel="0" collapsed="false">
      <c r="C32" s="187"/>
      <c r="D32" s="187"/>
      <c r="E32" s="187"/>
      <c r="F32" s="209"/>
      <c r="G32" s="209"/>
      <c r="H32" s="209"/>
      <c r="I32" s="209"/>
      <c r="J32" s="209"/>
      <c r="K32" s="209"/>
      <c r="L32" s="209"/>
      <c r="P32" s="209"/>
      <c r="Q32" s="209"/>
      <c r="R32" s="209"/>
      <c r="S32" s="209"/>
      <c r="T32" s="209"/>
      <c r="U32" s="209"/>
      <c r="V32" s="209"/>
    </row>
    <row r="33" customFormat="false" ht="19.5" hidden="false" customHeight="true" outlineLevel="0" collapsed="false"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Q33" s="205"/>
      <c r="R33" s="205"/>
      <c r="T33" s="206"/>
      <c r="U33" s="206"/>
      <c r="V33" s="206"/>
    </row>
    <row r="34" customFormat="false" ht="19.5" hidden="false" customHeight="true" outlineLevel="0" collapsed="false"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Q34" s="205"/>
      <c r="R34" s="205"/>
      <c r="T34" s="206"/>
      <c r="U34" s="206"/>
      <c r="V34" s="206"/>
    </row>
    <row r="35" customFormat="false" ht="19.5" hidden="false" customHeight="true" outlineLevel="0" collapsed="false"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Q35" s="205"/>
      <c r="R35" s="205"/>
      <c r="T35" s="206"/>
      <c r="U35" s="206"/>
      <c r="V35" s="206"/>
    </row>
    <row r="36" customFormat="false" ht="19.5" hidden="false" customHeight="true" outlineLevel="0" collapsed="false"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Q36" s="205"/>
      <c r="R36" s="205"/>
      <c r="T36" s="206"/>
      <c r="U36" s="206"/>
      <c r="V36" s="206"/>
    </row>
    <row r="37" customFormat="false" ht="19.5" hidden="false" customHeight="true" outlineLevel="0" collapsed="false"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Q37" s="205"/>
      <c r="R37" s="205"/>
      <c r="T37" s="206"/>
      <c r="U37" s="206"/>
      <c r="V37" s="206"/>
    </row>
    <row r="38" customFormat="false" ht="19.5" hidden="false" customHeight="true" outlineLevel="0" collapsed="false"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Q38" s="205"/>
      <c r="R38" s="205"/>
      <c r="T38" s="206"/>
      <c r="U38" s="206"/>
      <c r="V38" s="206"/>
    </row>
    <row r="39" customFormat="false" ht="19.5" hidden="false" customHeight="true" outlineLevel="0" collapsed="false">
      <c r="B39" s="172" t="s">
        <v>191</v>
      </c>
      <c r="C39" s="42"/>
      <c r="D39" s="42"/>
      <c r="E39" s="42"/>
      <c r="F39" s="42"/>
    </row>
    <row r="40" customFormat="false" ht="19.5" hidden="false" customHeight="true" outlineLevel="0" collapsed="false">
      <c r="D40" s="210" t="s">
        <v>192</v>
      </c>
      <c r="E40" s="210"/>
      <c r="F40" s="210"/>
      <c r="G40" s="210"/>
      <c r="H40" s="210"/>
      <c r="I40" s="210"/>
      <c r="J40" s="210"/>
      <c r="K40" s="211" t="s">
        <v>193</v>
      </c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</row>
    <row r="41" customFormat="false" ht="19.5" hidden="false" customHeight="true" outlineLevel="0" collapsed="false">
      <c r="D41" s="212" t="s">
        <v>194</v>
      </c>
      <c r="E41" s="213"/>
      <c r="F41" s="214"/>
      <c r="G41" s="214"/>
      <c r="H41" s="214"/>
      <c r="I41" s="214"/>
      <c r="J41" s="214"/>
      <c r="K41" s="215" t="s">
        <v>195</v>
      </c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6"/>
    </row>
    <row r="42" customFormat="false" ht="19.5" hidden="false" customHeight="true" outlineLevel="0" collapsed="false">
      <c r="D42" s="217" t="s">
        <v>196</v>
      </c>
      <c r="E42" s="218"/>
      <c r="F42" s="182"/>
      <c r="G42" s="182"/>
      <c r="H42" s="182"/>
      <c r="I42" s="182"/>
      <c r="J42" s="182"/>
      <c r="K42" s="219" t="s">
        <v>197</v>
      </c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</row>
    <row r="43" customFormat="false" ht="19.5" hidden="false" customHeight="true" outlineLevel="0" collapsed="false">
      <c r="D43" s="217" t="s">
        <v>198</v>
      </c>
      <c r="E43" s="218"/>
      <c r="F43" s="182"/>
      <c r="G43" s="182"/>
      <c r="H43" s="182"/>
      <c r="I43" s="182"/>
      <c r="J43" s="182"/>
      <c r="K43" s="220" t="s">
        <v>199</v>
      </c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221"/>
    </row>
    <row r="44" customFormat="false" ht="19.5" hidden="false" customHeight="true" outlineLevel="0" collapsed="false">
      <c r="D44" s="217" t="s">
        <v>200</v>
      </c>
      <c r="E44" s="218"/>
      <c r="F44" s="182"/>
      <c r="G44" s="182"/>
      <c r="H44" s="182"/>
      <c r="I44" s="182"/>
      <c r="J44" s="182"/>
      <c r="K44" s="220" t="s">
        <v>201</v>
      </c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221"/>
    </row>
    <row r="45" customFormat="false" ht="19.5" hidden="false" customHeight="true" outlineLevel="0" collapsed="false">
      <c r="D45" s="222" t="s">
        <v>202</v>
      </c>
      <c r="E45" s="223"/>
      <c r="F45" s="224"/>
      <c r="G45" s="224"/>
      <c r="H45" s="224"/>
      <c r="I45" s="224"/>
      <c r="J45" s="224"/>
      <c r="K45" s="225" t="s">
        <v>203</v>
      </c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6"/>
    </row>
    <row r="46" customFormat="false" ht="15" hidden="false" customHeight="true" outlineLevel="0" collapsed="false">
      <c r="D46" s="197"/>
      <c r="E46" s="42"/>
      <c r="K46" s="197"/>
    </row>
    <row r="47" customFormat="false" ht="15" hidden="false" customHeight="true" outlineLevel="0" collapsed="false">
      <c r="B47" s="172" t="s">
        <v>204</v>
      </c>
      <c r="D47" s="197"/>
      <c r="E47" s="42"/>
      <c r="K47" s="197"/>
    </row>
    <row r="48" customFormat="false" ht="15" hidden="false" customHeight="true" outlineLevel="0" collapsed="false">
      <c r="C48" s="186" t="s">
        <v>205</v>
      </c>
      <c r="D48" s="42"/>
      <c r="E48" s="42"/>
      <c r="F48" s="42"/>
    </row>
    <row r="49" customFormat="false" ht="15" hidden="false" customHeight="true" outlineLevel="0" collapsed="false">
      <c r="C49" s="197" t="s">
        <v>206</v>
      </c>
      <c r="D49" s="42"/>
      <c r="E49" s="42"/>
      <c r="F49" s="42"/>
    </row>
    <row r="50" customFormat="false" ht="15" hidden="false" customHeight="true" outlineLevel="0" collapsed="false">
      <c r="C50" s="197" t="s">
        <v>207</v>
      </c>
      <c r="D50" s="42"/>
      <c r="E50" s="42"/>
      <c r="F50" s="42"/>
    </row>
    <row r="51" customFormat="false" ht="15" hidden="false" customHeight="true" outlineLevel="0" collapsed="false">
      <c r="C51" s="197" t="s">
        <v>208</v>
      </c>
      <c r="D51" s="42"/>
      <c r="E51" s="42"/>
      <c r="F51" s="42"/>
    </row>
    <row r="52" customFormat="false" ht="15" hidden="false" customHeight="true" outlineLevel="0" collapsed="false">
      <c r="D52" s="196" t="s">
        <v>209</v>
      </c>
      <c r="E52" s="42"/>
      <c r="F52" s="42"/>
    </row>
    <row r="53" customFormat="false" ht="15" hidden="false" customHeight="true" outlineLevel="0" collapsed="false">
      <c r="D53" s="196" t="s">
        <v>210</v>
      </c>
      <c r="E53" s="42"/>
      <c r="F53" s="42"/>
    </row>
    <row r="54" customFormat="false" ht="15" hidden="false" customHeight="true" outlineLevel="0" collapsed="false">
      <c r="D54" s="196" t="s">
        <v>211</v>
      </c>
      <c r="E54" s="42"/>
      <c r="F54" s="42"/>
    </row>
    <row r="55" customFormat="false" ht="15" hidden="false" customHeight="true" outlineLevel="0" collapsed="false">
      <c r="C55" s="186" t="s">
        <v>212</v>
      </c>
      <c r="D55" s="42"/>
      <c r="E55" s="42"/>
      <c r="F55" s="42"/>
    </row>
    <row r="56" customFormat="false" ht="15" hidden="false" customHeight="true" outlineLevel="0" collapsed="false">
      <c r="D56" s="196" t="s">
        <v>213</v>
      </c>
      <c r="E56" s="42"/>
      <c r="F56" s="42"/>
    </row>
    <row r="57" customFormat="false" ht="15" hidden="false" customHeight="true" outlineLevel="0" collapsed="false">
      <c r="D57" s="196" t="s">
        <v>214</v>
      </c>
      <c r="E57" s="42"/>
      <c r="F57" s="42"/>
    </row>
    <row r="58" customFormat="false" ht="15" hidden="false" customHeight="true" outlineLevel="0" collapsed="false">
      <c r="D58" s="196" t="s">
        <v>215</v>
      </c>
      <c r="E58" s="42"/>
      <c r="F58" s="42"/>
    </row>
    <row r="59" customFormat="false" ht="15" hidden="false" customHeight="true" outlineLevel="0" collapsed="false">
      <c r="D59" s="196" t="s">
        <v>216</v>
      </c>
      <c r="E59" s="42"/>
      <c r="F59" s="42"/>
    </row>
    <row r="60" customFormat="false" ht="15" hidden="false" customHeight="true" outlineLevel="0" collapsed="false">
      <c r="D60" s="196" t="s">
        <v>217</v>
      </c>
      <c r="E60" s="42"/>
      <c r="F60" s="42"/>
    </row>
    <row r="61" customFormat="false" ht="15" hidden="false" customHeight="true" outlineLevel="0" collapsed="false">
      <c r="D61" s="196" t="s">
        <v>218</v>
      </c>
      <c r="E61" s="42"/>
      <c r="F61" s="42"/>
    </row>
    <row r="62" customFormat="false" ht="15" hidden="false" customHeight="true" outlineLevel="0" collapsed="false">
      <c r="C62" s="186" t="s">
        <v>219</v>
      </c>
      <c r="D62" s="42"/>
      <c r="E62" s="42"/>
      <c r="F62" s="42"/>
    </row>
    <row r="63" customFormat="false" ht="15" hidden="false" customHeight="true" outlineLevel="0" collapsed="false">
      <c r="D63" s="196" t="s">
        <v>220</v>
      </c>
      <c r="E63" s="42"/>
      <c r="F63" s="42"/>
    </row>
    <row r="64" customFormat="false" ht="5.25" hidden="false" customHeight="true" outlineLevel="0" collapsed="false">
      <c r="C64" s="196"/>
      <c r="D64" s="42"/>
      <c r="E64" s="42"/>
      <c r="F64" s="42"/>
    </row>
    <row r="65" customFormat="false" ht="19.5" hidden="false" customHeight="true" outlineLevel="0" collapsed="false">
      <c r="D65" s="227" t="s">
        <v>221</v>
      </c>
      <c r="E65" s="228" t="s">
        <v>222</v>
      </c>
      <c r="F65" s="228"/>
      <c r="G65" s="228"/>
      <c r="H65" s="229" t="s">
        <v>223</v>
      </c>
      <c r="I65" s="229"/>
      <c r="J65" s="229"/>
      <c r="K65" s="229"/>
      <c r="L65" s="230" t="s">
        <v>224</v>
      </c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28" t="s">
        <v>225</v>
      </c>
      <c r="X65" s="228"/>
      <c r="Y65" s="228"/>
    </row>
    <row r="66" customFormat="false" ht="34.5" hidden="false" customHeight="true" outlineLevel="0" collapsed="false">
      <c r="D66" s="231" t="n">
        <v>1</v>
      </c>
      <c r="E66" s="232" t="s">
        <v>226</v>
      </c>
      <c r="F66" s="232"/>
      <c r="G66" s="232"/>
      <c r="H66" s="233" t="s">
        <v>227</v>
      </c>
      <c r="I66" s="233"/>
      <c r="J66" s="233"/>
      <c r="K66" s="233"/>
      <c r="L66" s="234" t="s">
        <v>228</v>
      </c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2"/>
      <c r="X66" s="232"/>
      <c r="Y66" s="232"/>
    </row>
    <row r="67" customFormat="false" ht="34.5" hidden="false" customHeight="true" outlineLevel="0" collapsed="false">
      <c r="D67" s="235" t="n">
        <v>2</v>
      </c>
      <c r="E67" s="236" t="s">
        <v>229</v>
      </c>
      <c r="F67" s="236"/>
      <c r="G67" s="236"/>
      <c r="H67" s="237" t="s">
        <v>230</v>
      </c>
      <c r="I67" s="237"/>
      <c r="J67" s="237"/>
      <c r="K67" s="237"/>
      <c r="L67" s="238" t="s">
        <v>231</v>
      </c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6"/>
      <c r="X67" s="236"/>
      <c r="Y67" s="236"/>
    </row>
    <row r="68" customFormat="false" ht="34.5" hidden="false" customHeight="true" outlineLevel="0" collapsed="false">
      <c r="D68" s="235" t="n">
        <v>3</v>
      </c>
      <c r="E68" s="236" t="s">
        <v>232</v>
      </c>
      <c r="F68" s="236"/>
      <c r="G68" s="236"/>
      <c r="H68" s="239" t="s">
        <v>233</v>
      </c>
      <c r="I68" s="239"/>
      <c r="J68" s="239"/>
      <c r="K68" s="239"/>
      <c r="L68" s="238" t="s">
        <v>234</v>
      </c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6"/>
      <c r="X68" s="236"/>
      <c r="Y68" s="236"/>
    </row>
    <row r="69" customFormat="false" ht="34.5" hidden="false" customHeight="true" outlineLevel="0" collapsed="false">
      <c r="D69" s="235" t="n">
        <v>4</v>
      </c>
      <c r="E69" s="236" t="s">
        <v>235</v>
      </c>
      <c r="F69" s="236"/>
      <c r="G69" s="236"/>
      <c r="H69" s="239" t="s">
        <v>236</v>
      </c>
      <c r="I69" s="239"/>
      <c r="J69" s="239"/>
      <c r="K69" s="239"/>
      <c r="L69" s="238" t="s">
        <v>237</v>
      </c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6"/>
      <c r="X69" s="236"/>
      <c r="Y69" s="236"/>
    </row>
    <row r="70" customFormat="false" ht="34.5" hidden="false" customHeight="true" outlineLevel="0" collapsed="false">
      <c r="D70" s="240" t="n">
        <v>5</v>
      </c>
      <c r="E70" s="241" t="s">
        <v>238</v>
      </c>
      <c r="F70" s="241"/>
      <c r="G70" s="241"/>
      <c r="H70" s="242" t="s">
        <v>239</v>
      </c>
      <c r="I70" s="242"/>
      <c r="J70" s="242"/>
      <c r="K70" s="242"/>
      <c r="L70" s="243" t="s">
        <v>240</v>
      </c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1"/>
      <c r="X70" s="241"/>
      <c r="Y70" s="241"/>
    </row>
    <row r="71" customFormat="false" ht="15" hidden="false" customHeight="true" outlineLevel="0" collapsed="false">
      <c r="D71" s="244"/>
      <c r="E71" s="244"/>
      <c r="F71" s="206"/>
      <c r="G71" s="206"/>
      <c r="H71" s="245"/>
      <c r="I71" s="245"/>
      <c r="J71" s="245"/>
      <c r="K71" s="24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244"/>
      <c r="X71" s="244"/>
      <c r="Y71" s="244"/>
    </row>
    <row r="72" customFormat="false" ht="15" hidden="false" customHeight="true" outlineLevel="0" collapsed="false">
      <c r="D72" s="197"/>
      <c r="E72" s="42"/>
      <c r="K72" s="197"/>
    </row>
    <row r="73" customFormat="false" ht="15" hidden="false" customHeight="true" outlineLevel="0" collapsed="false">
      <c r="D73" s="197"/>
      <c r="E73" s="42"/>
      <c r="K73" s="197"/>
    </row>
    <row r="74" customFormat="false" ht="15" hidden="false" customHeight="true" outlineLevel="0" collapsed="false">
      <c r="D74" s="197"/>
      <c r="E74" s="42"/>
      <c r="K74" s="197"/>
    </row>
    <row r="75" customFormat="false" ht="15" hidden="false" customHeight="true" outlineLevel="0" collapsed="false">
      <c r="D75" s="197"/>
      <c r="E75" s="42"/>
      <c r="K75" s="197"/>
    </row>
    <row r="76" customFormat="false" ht="15" hidden="false" customHeight="true" outlineLevel="0" collapsed="false">
      <c r="D76" s="197"/>
      <c r="E76" s="42"/>
      <c r="K76" s="197"/>
    </row>
    <row r="77" customFormat="false" ht="15" hidden="false" customHeight="true" outlineLevel="0" collapsed="false">
      <c r="D77" s="197"/>
      <c r="E77" s="42"/>
      <c r="K77" s="197"/>
    </row>
    <row r="78" customFormat="false" ht="15" hidden="false" customHeight="true" outlineLevel="0" collapsed="false">
      <c r="D78" s="197"/>
      <c r="E78" s="42"/>
      <c r="K78" s="197"/>
    </row>
    <row r="79" customFormat="false" ht="15" hidden="false" customHeight="true" outlineLevel="0" collapsed="false">
      <c r="B79" s="172" t="s">
        <v>241</v>
      </c>
      <c r="C79" s="42"/>
      <c r="D79" s="42"/>
      <c r="E79" s="42"/>
      <c r="F79" s="42"/>
    </row>
    <row r="80" customFormat="false" ht="15" hidden="false" customHeight="true" outlineLevel="0" collapsed="false">
      <c r="B80" s="186" t="s">
        <v>242</v>
      </c>
      <c r="C80" s="42"/>
      <c r="D80" s="42"/>
      <c r="E80" s="42"/>
      <c r="F80" s="42"/>
    </row>
    <row r="81" customFormat="false" ht="15" hidden="false" customHeight="true" outlineLevel="0" collapsed="false">
      <c r="C81" s="186" t="s">
        <v>243</v>
      </c>
      <c r="D81" s="42"/>
      <c r="E81" s="42"/>
      <c r="F81" s="42"/>
    </row>
    <row r="82" customFormat="false" ht="15" hidden="false" customHeight="true" outlineLevel="0" collapsed="false">
      <c r="D82" s="196" t="s">
        <v>244</v>
      </c>
      <c r="E82" s="42"/>
      <c r="F82" s="42"/>
    </row>
    <row r="83" customFormat="false" ht="15" hidden="false" customHeight="true" outlineLevel="0" collapsed="false">
      <c r="D83" s="196" t="s">
        <v>245</v>
      </c>
      <c r="E83" s="42"/>
      <c r="F83" s="42"/>
    </row>
    <row r="84" customFormat="false" ht="15" hidden="false" customHeight="true" outlineLevel="0" collapsed="false">
      <c r="C84" s="186" t="s">
        <v>246</v>
      </c>
      <c r="D84" s="42"/>
      <c r="E84" s="42"/>
      <c r="F84" s="42"/>
    </row>
    <row r="85" customFormat="false" ht="15" hidden="false" customHeight="true" outlineLevel="0" collapsed="false">
      <c r="D85" s="196" t="s">
        <v>247</v>
      </c>
      <c r="E85" s="42"/>
      <c r="F85" s="42"/>
    </row>
    <row r="86" customFormat="false" ht="15" hidden="false" customHeight="true" outlineLevel="0" collapsed="false">
      <c r="C86" s="186" t="s">
        <v>248</v>
      </c>
      <c r="D86" s="42"/>
      <c r="E86" s="42"/>
      <c r="F86" s="42"/>
    </row>
    <row r="87" customFormat="false" ht="15" hidden="false" customHeight="true" outlineLevel="0" collapsed="false">
      <c r="D87" s="196" t="s">
        <v>249</v>
      </c>
      <c r="E87" s="42"/>
      <c r="F87" s="42"/>
    </row>
    <row r="88" customFormat="false" ht="15" hidden="false" customHeight="true" outlineLevel="0" collapsed="false">
      <c r="D88" s="197" t="s">
        <v>250</v>
      </c>
      <c r="E88" s="42"/>
      <c r="F88" s="42"/>
    </row>
    <row r="89" customFormat="false" ht="15" hidden="false" customHeight="true" outlineLevel="0" collapsed="false">
      <c r="D89" s="196" t="s">
        <v>251</v>
      </c>
      <c r="E89" s="42"/>
      <c r="F89" s="42"/>
    </row>
    <row r="90" customFormat="false" ht="15" hidden="false" customHeight="true" outlineLevel="0" collapsed="false">
      <c r="D90" s="197" t="s">
        <v>252</v>
      </c>
      <c r="E90" s="42"/>
      <c r="F90" s="42"/>
    </row>
    <row r="91" customFormat="false" ht="15" hidden="false" customHeight="true" outlineLevel="0" collapsed="false">
      <c r="D91" s="197"/>
      <c r="E91" s="42"/>
      <c r="F91" s="42"/>
    </row>
    <row r="92" customFormat="false" ht="15" hidden="false" customHeight="true" outlineLevel="0" collapsed="false">
      <c r="B92" s="186" t="s">
        <v>253</v>
      </c>
      <c r="D92" s="42"/>
      <c r="E92" s="42"/>
      <c r="F92" s="42"/>
    </row>
    <row r="93" customFormat="false" ht="15" hidden="false" customHeight="true" outlineLevel="0" collapsed="false">
      <c r="C93" s="186" t="s">
        <v>254</v>
      </c>
      <c r="D93" s="42"/>
      <c r="E93" s="42"/>
      <c r="F93" s="42"/>
    </row>
    <row r="94" customFormat="false" ht="15" hidden="false" customHeight="true" outlineLevel="0" collapsed="false">
      <c r="C94" s="197" t="s">
        <v>255</v>
      </c>
      <c r="D94" s="42"/>
      <c r="E94" s="42"/>
      <c r="F94" s="42"/>
    </row>
    <row r="95" customFormat="false" ht="15" hidden="false" customHeight="true" outlineLevel="0" collapsed="false">
      <c r="C95" s="186" t="s">
        <v>256</v>
      </c>
      <c r="D95" s="42"/>
      <c r="E95" s="42"/>
      <c r="F95" s="42"/>
    </row>
    <row r="96" customFormat="false" ht="15" hidden="false" customHeight="true" outlineLevel="0" collapsed="false">
      <c r="C96" s="197" t="s">
        <v>257</v>
      </c>
      <c r="D96" s="42"/>
      <c r="E96" s="42"/>
      <c r="F96" s="42"/>
    </row>
    <row r="97" customFormat="false" ht="15" hidden="false" customHeight="true" outlineLevel="0" collapsed="false">
      <c r="D97" s="196" t="s">
        <v>258</v>
      </c>
      <c r="E97" s="42"/>
      <c r="F97" s="42"/>
    </row>
    <row r="98" customFormat="false" ht="15" hidden="false" customHeight="true" outlineLevel="0" collapsed="false">
      <c r="D98" s="196" t="s">
        <v>259</v>
      </c>
      <c r="E98" s="42"/>
      <c r="F98" s="42"/>
    </row>
    <row r="99" customFormat="false" ht="15" hidden="false" customHeight="true" outlineLevel="0" collapsed="false">
      <c r="D99" s="196" t="s">
        <v>260</v>
      </c>
      <c r="E99" s="42"/>
      <c r="F99" s="42"/>
    </row>
    <row r="100" customFormat="false" ht="15" hidden="false" customHeight="true" outlineLevel="0" collapsed="false">
      <c r="D100" s="196" t="s">
        <v>261</v>
      </c>
      <c r="E100" s="42"/>
      <c r="F100" s="42"/>
    </row>
    <row r="101" customFormat="false" ht="15" hidden="false" customHeight="true" outlineLevel="0" collapsed="false">
      <c r="D101" s="196" t="s">
        <v>262</v>
      </c>
      <c r="E101" s="42"/>
      <c r="F101" s="42"/>
    </row>
    <row r="102" customFormat="false" ht="15" hidden="false" customHeight="true" outlineLevel="0" collapsed="false">
      <c r="D102" s="196" t="s">
        <v>263</v>
      </c>
      <c r="E102" s="42"/>
      <c r="F102" s="42"/>
    </row>
    <row r="103" customFormat="false" ht="15" hidden="false" customHeight="true" outlineLevel="0" collapsed="false">
      <c r="D103" s="196" t="s">
        <v>264</v>
      </c>
      <c r="E103" s="42"/>
      <c r="F103" s="42"/>
    </row>
    <row r="104" customFormat="false" ht="15" hidden="false" customHeight="true" outlineLevel="0" collapsed="false">
      <c r="D104" s="196" t="s">
        <v>265</v>
      </c>
      <c r="E104" s="42"/>
      <c r="F104" s="42"/>
    </row>
    <row r="105" customFormat="false" ht="15" hidden="false" customHeight="true" outlineLevel="0" collapsed="false">
      <c r="D105" s="196" t="s">
        <v>266</v>
      </c>
      <c r="E105" s="42"/>
      <c r="F105" s="42"/>
    </row>
    <row r="106" customFormat="false" ht="15" hidden="false" customHeight="true" outlineLevel="0" collapsed="false">
      <c r="D106" s="196" t="s">
        <v>267</v>
      </c>
      <c r="E106" s="42"/>
      <c r="F106" s="42"/>
    </row>
    <row r="107" customFormat="false" ht="15" hidden="false" customHeight="true" outlineLevel="0" collapsed="false">
      <c r="D107" s="196" t="s">
        <v>268</v>
      </c>
      <c r="E107" s="42"/>
      <c r="F107" s="42"/>
    </row>
    <row r="108" customFormat="false" ht="15" hidden="false" customHeight="true" outlineLevel="0" collapsed="false">
      <c r="D108" s="196" t="s">
        <v>269</v>
      </c>
      <c r="E108" s="42"/>
      <c r="F108" s="42"/>
    </row>
    <row r="109" customFormat="false" ht="15" hidden="false" customHeight="true" outlineLevel="0" collapsed="false">
      <c r="D109" s="196"/>
      <c r="E109" s="42"/>
      <c r="F109" s="42"/>
    </row>
    <row r="110" customFormat="false" ht="15" hidden="false" customHeight="true" outlineLevel="0" collapsed="false">
      <c r="B110" s="186" t="s">
        <v>270</v>
      </c>
      <c r="D110" s="42"/>
      <c r="E110" s="42"/>
      <c r="F110" s="42"/>
    </row>
    <row r="111" customFormat="false" ht="15" hidden="false" customHeight="true" outlineLevel="0" collapsed="false">
      <c r="C111" s="196" t="s">
        <v>271</v>
      </c>
      <c r="D111" s="42"/>
      <c r="E111" s="42"/>
      <c r="F111" s="42"/>
    </row>
    <row r="112" customFormat="false" ht="15" hidden="false" customHeight="true" outlineLevel="0" collapsed="false">
      <c r="C112" s="196" t="s">
        <v>272</v>
      </c>
      <c r="D112" s="42"/>
      <c r="E112" s="42"/>
      <c r="F112" s="42"/>
    </row>
    <row r="113" customFormat="false" ht="15" hidden="false" customHeight="true" outlineLevel="0" collapsed="false">
      <c r="C113" s="196"/>
      <c r="D113" s="42"/>
      <c r="E113" s="42"/>
      <c r="F113" s="42"/>
    </row>
    <row r="114" customFormat="false" ht="15" hidden="false" customHeight="true" outlineLevel="0" collapsed="false">
      <c r="B114" s="186" t="s">
        <v>273</v>
      </c>
      <c r="C114" s="42"/>
      <c r="D114" s="42"/>
      <c r="E114" s="42"/>
      <c r="F114" s="42"/>
    </row>
    <row r="115" customFormat="false" ht="15" hidden="false" customHeight="true" outlineLevel="0" collapsed="false">
      <c r="C115" s="196" t="s">
        <v>274</v>
      </c>
      <c r="D115" s="42"/>
      <c r="E115" s="42"/>
      <c r="F115" s="42"/>
    </row>
    <row r="116" customFormat="false" ht="15" hidden="false" customHeight="true" outlineLevel="0" collapsed="false">
      <c r="C116" s="196" t="s">
        <v>275</v>
      </c>
      <c r="D116" s="42"/>
      <c r="E116" s="42"/>
      <c r="F116" s="42"/>
    </row>
    <row r="117" customFormat="false" ht="15" hidden="false" customHeight="true" outlineLevel="0" collapsed="false">
      <c r="C117" s="196"/>
      <c r="D117" s="42"/>
      <c r="E117" s="42"/>
      <c r="F117" s="42"/>
    </row>
    <row r="118" customFormat="false" ht="15" hidden="false" customHeight="true" outlineLevel="0" collapsed="false">
      <c r="B118" s="186" t="s">
        <v>276</v>
      </c>
      <c r="C118" s="42"/>
      <c r="D118" s="42"/>
      <c r="E118" s="42"/>
      <c r="F118" s="42"/>
    </row>
    <row r="119" customFormat="false" ht="15" hidden="false" customHeight="true" outlineLevel="0" collapsed="false">
      <c r="C119" s="196" t="s">
        <v>277</v>
      </c>
      <c r="D119" s="42"/>
      <c r="E119" s="42"/>
      <c r="F119" s="42"/>
    </row>
    <row r="120" customFormat="false" ht="15" hidden="false" customHeight="true" outlineLevel="0" collapsed="false">
      <c r="C120" s="196" t="s">
        <v>278</v>
      </c>
      <c r="D120" s="42"/>
      <c r="E120" s="42"/>
      <c r="F120" s="42"/>
    </row>
    <row r="121" customFormat="false" ht="15" hidden="false" customHeight="true" outlineLevel="0" collapsed="false">
      <c r="C121" s="196" t="s">
        <v>279</v>
      </c>
      <c r="D121" s="42"/>
      <c r="E121" s="42"/>
      <c r="F121" s="42"/>
    </row>
    <row r="122" customFormat="false" ht="15" hidden="false" customHeight="true" outlineLevel="0" collapsed="false">
      <c r="C122" s="196"/>
      <c r="D122" s="42"/>
      <c r="E122" s="42"/>
      <c r="F122" s="42"/>
    </row>
    <row r="123" customFormat="false" ht="15" hidden="false" customHeight="true" outlineLevel="0" collapsed="false">
      <c r="B123" s="186" t="s">
        <v>280</v>
      </c>
      <c r="C123" s="42"/>
      <c r="D123" s="42"/>
      <c r="E123" s="42"/>
      <c r="F123" s="42"/>
    </row>
    <row r="124" customFormat="false" ht="15" hidden="false" customHeight="true" outlineLevel="0" collapsed="false">
      <c r="C124" s="186" t="s">
        <v>281</v>
      </c>
      <c r="D124" s="42"/>
      <c r="E124" s="42"/>
      <c r="F124" s="42"/>
    </row>
    <row r="125" customFormat="false" ht="15" hidden="false" customHeight="true" outlineLevel="0" collapsed="false">
      <c r="C125" s="197" t="s">
        <v>282</v>
      </c>
      <c r="D125" s="42"/>
      <c r="E125" s="42"/>
      <c r="F125" s="42"/>
    </row>
    <row r="126" customFormat="false" ht="15" hidden="false" customHeight="true" outlineLevel="0" collapsed="false">
      <c r="D126" s="196" t="s">
        <v>283</v>
      </c>
      <c r="E126" s="42"/>
      <c r="F126" s="42"/>
    </row>
    <row r="127" customFormat="false" ht="15" hidden="false" customHeight="true" outlineLevel="0" collapsed="false">
      <c r="D127" s="196" t="s">
        <v>284</v>
      </c>
      <c r="E127" s="42"/>
      <c r="F127" s="42"/>
    </row>
    <row r="128" customFormat="false" ht="15" hidden="false" customHeight="true" outlineLevel="0" collapsed="false">
      <c r="D128" s="196" t="s">
        <v>285</v>
      </c>
      <c r="E128" s="42"/>
      <c r="F128" s="42"/>
    </row>
    <row r="129" customFormat="false" ht="15" hidden="false" customHeight="true" outlineLevel="0" collapsed="false">
      <c r="D129" s="196" t="s">
        <v>286</v>
      </c>
      <c r="E129" s="42"/>
      <c r="F129" s="42"/>
    </row>
    <row r="130" customFormat="false" ht="15" hidden="false" customHeight="true" outlineLevel="0" collapsed="false">
      <c r="D130" s="196" t="s">
        <v>287</v>
      </c>
      <c r="E130" s="42"/>
      <c r="F130" s="42"/>
    </row>
    <row r="131" customFormat="false" ht="15" hidden="false" customHeight="true" outlineLevel="0" collapsed="false">
      <c r="D131" s="196" t="s">
        <v>288</v>
      </c>
      <c r="E131" s="42"/>
      <c r="F131" s="42"/>
    </row>
    <row r="132" customFormat="false" ht="15" hidden="false" customHeight="true" outlineLevel="0" collapsed="false">
      <c r="D132" s="196" t="s">
        <v>289</v>
      </c>
      <c r="E132" s="42"/>
      <c r="F132" s="42"/>
    </row>
    <row r="133" customFormat="false" ht="15" hidden="false" customHeight="true" outlineLevel="0" collapsed="false">
      <c r="D133" s="196" t="s">
        <v>290</v>
      </c>
      <c r="E133" s="42"/>
      <c r="F133" s="42"/>
    </row>
    <row r="134" customFormat="false" ht="15" hidden="false" customHeight="true" outlineLevel="0" collapsed="false">
      <c r="D134" s="196" t="s">
        <v>291</v>
      </c>
      <c r="E134" s="42"/>
      <c r="F134" s="42"/>
    </row>
    <row r="135" customFormat="false" ht="15" hidden="false" customHeight="true" outlineLevel="0" collapsed="false">
      <c r="D135" s="196" t="s">
        <v>292</v>
      </c>
      <c r="E135" s="42"/>
      <c r="F135" s="42"/>
    </row>
    <row r="136" customFormat="false" ht="15" hidden="false" customHeight="true" outlineLevel="0" collapsed="false">
      <c r="D136" s="196" t="s">
        <v>293</v>
      </c>
      <c r="E136" s="42"/>
      <c r="F136" s="42"/>
    </row>
    <row r="137" customFormat="false" ht="15" hidden="false" customHeight="true" outlineLevel="0" collapsed="false">
      <c r="D137" s="196" t="s">
        <v>294</v>
      </c>
      <c r="E137" s="42"/>
      <c r="F137" s="42"/>
    </row>
    <row r="138" customFormat="false" ht="15" hidden="false" customHeight="true" outlineLevel="0" collapsed="false">
      <c r="C138" s="186" t="s">
        <v>295</v>
      </c>
      <c r="D138" s="42"/>
      <c r="E138" s="42"/>
      <c r="F138" s="42"/>
    </row>
    <row r="139" customFormat="false" ht="15" hidden="false" customHeight="true" outlineLevel="0" collapsed="false">
      <c r="D139" s="196" t="s">
        <v>296</v>
      </c>
      <c r="E139" s="42"/>
      <c r="F139" s="42"/>
    </row>
    <row r="140" customFormat="false" ht="15" hidden="false" customHeight="true" outlineLevel="0" collapsed="false">
      <c r="D140" s="196" t="s">
        <v>297</v>
      </c>
      <c r="E140" s="42"/>
      <c r="F140" s="42"/>
    </row>
    <row r="141" customFormat="false" ht="15" hidden="false" customHeight="true" outlineLevel="0" collapsed="false">
      <c r="D141" s="196" t="s">
        <v>298</v>
      </c>
      <c r="E141" s="42"/>
      <c r="F141" s="42"/>
    </row>
    <row r="142" customFormat="false" ht="15" hidden="false" customHeight="true" outlineLevel="0" collapsed="false">
      <c r="D142" s="196" t="s">
        <v>299</v>
      </c>
      <c r="E142" s="42"/>
      <c r="F142" s="42"/>
    </row>
    <row r="143" customFormat="false" ht="15" hidden="false" customHeight="true" outlineLevel="0" collapsed="false">
      <c r="D143" s="196" t="s">
        <v>300</v>
      </c>
      <c r="E143" s="42"/>
      <c r="F143" s="42"/>
    </row>
    <row r="144" customFormat="false" ht="15" hidden="false" customHeight="true" outlineLevel="0" collapsed="false">
      <c r="D144" s="196" t="s">
        <v>301</v>
      </c>
      <c r="E144" s="42"/>
      <c r="F144" s="42"/>
    </row>
    <row r="145" customFormat="false" ht="15" hidden="false" customHeight="true" outlineLevel="0" collapsed="false">
      <c r="D145" s="196"/>
      <c r="E145" s="42"/>
      <c r="F145" s="42"/>
    </row>
    <row r="146" customFormat="false" ht="15" hidden="false" customHeight="true" outlineLevel="0" collapsed="false">
      <c r="B146" s="186" t="s">
        <v>302</v>
      </c>
      <c r="C146" s="42"/>
      <c r="D146" s="42"/>
      <c r="E146" s="42"/>
      <c r="F146" s="42"/>
    </row>
    <row r="147" customFormat="false" ht="15" hidden="false" customHeight="true" outlineLevel="0" collapsed="false">
      <c r="C147" s="186" t="s">
        <v>205</v>
      </c>
      <c r="D147" s="42"/>
      <c r="E147" s="42"/>
      <c r="F147" s="42"/>
    </row>
    <row r="148" customFormat="false" ht="15" hidden="false" customHeight="true" outlineLevel="0" collapsed="false">
      <c r="C148" s="197" t="s">
        <v>303</v>
      </c>
      <c r="D148" s="42"/>
      <c r="E148" s="42"/>
      <c r="F148" s="42"/>
    </row>
    <row r="149" customFormat="false" ht="15" hidden="false" customHeight="true" outlineLevel="0" collapsed="false">
      <c r="C149" s="197" t="s">
        <v>304</v>
      </c>
      <c r="D149" s="42"/>
      <c r="E149" s="42"/>
      <c r="F149" s="42"/>
    </row>
    <row r="150" customFormat="false" ht="15" hidden="false" customHeight="true" outlineLevel="0" collapsed="false">
      <c r="C150" s="197" t="s">
        <v>305</v>
      </c>
      <c r="D150" s="42"/>
      <c r="E150" s="42"/>
      <c r="F150" s="42"/>
    </row>
    <row r="151" customFormat="false" ht="15" hidden="false" customHeight="true" outlineLevel="0" collapsed="false">
      <c r="C151" s="186" t="s">
        <v>306</v>
      </c>
      <c r="D151" s="42"/>
      <c r="E151" s="42"/>
      <c r="F151" s="42"/>
    </row>
    <row r="152" customFormat="false" ht="15" hidden="false" customHeight="true" outlineLevel="0" collapsed="false">
      <c r="C152" s="197" t="s">
        <v>307</v>
      </c>
      <c r="D152" s="42"/>
      <c r="E152" s="42"/>
      <c r="F152" s="42"/>
    </row>
    <row r="153" customFormat="false" ht="15" hidden="false" customHeight="true" outlineLevel="0" collapsed="false">
      <c r="D153" s="186" t="s">
        <v>308</v>
      </c>
      <c r="E153" s="42"/>
      <c r="F153" s="42"/>
    </row>
    <row r="154" customFormat="false" ht="15" hidden="false" customHeight="true" outlineLevel="0" collapsed="false">
      <c r="D154" s="186" t="s">
        <v>309</v>
      </c>
      <c r="E154" s="42"/>
      <c r="F154" s="42"/>
    </row>
    <row r="155" customFormat="false" ht="15" hidden="false" customHeight="true" outlineLevel="0" collapsed="false">
      <c r="D155" s="186" t="s">
        <v>310</v>
      </c>
      <c r="E155" s="42"/>
      <c r="F155" s="42"/>
    </row>
    <row r="156" customFormat="false" ht="15" hidden="false" customHeight="true" outlineLevel="0" collapsed="false">
      <c r="D156" s="186" t="s">
        <v>311</v>
      </c>
      <c r="E156" s="42"/>
      <c r="F156" s="42"/>
    </row>
    <row r="157" customFormat="false" ht="15" hidden="false" customHeight="true" outlineLevel="0" collapsed="false">
      <c r="D157" s="186" t="s">
        <v>312</v>
      </c>
      <c r="E157" s="42"/>
      <c r="F157" s="42"/>
    </row>
    <row r="158" customFormat="false" ht="15" hidden="false" customHeight="true" outlineLevel="0" collapsed="false">
      <c r="C158" s="197" t="s">
        <v>313</v>
      </c>
      <c r="D158" s="42"/>
      <c r="E158" s="42"/>
      <c r="F158" s="42"/>
    </row>
    <row r="159" customFormat="false" ht="15" hidden="false" customHeight="true" outlineLevel="0" collapsed="false">
      <c r="D159" s="186" t="s">
        <v>314</v>
      </c>
      <c r="E159" s="42"/>
      <c r="F159" s="42"/>
    </row>
    <row r="160" customFormat="false" ht="15" hidden="false" customHeight="true" outlineLevel="0" collapsed="false">
      <c r="E160" s="196" t="s">
        <v>315</v>
      </c>
      <c r="F160" s="42"/>
    </row>
    <row r="161" customFormat="false" ht="15" hidden="false" customHeight="true" outlineLevel="0" collapsed="false">
      <c r="E161" s="196" t="s">
        <v>316</v>
      </c>
      <c r="F161" s="42"/>
    </row>
    <row r="162" customFormat="false" ht="15" hidden="false" customHeight="true" outlineLevel="0" collapsed="false">
      <c r="E162" s="196" t="s">
        <v>317</v>
      </c>
      <c r="F162" s="42"/>
    </row>
    <row r="163" customFormat="false" ht="15" hidden="false" customHeight="true" outlineLevel="0" collapsed="false">
      <c r="D163" s="186" t="s">
        <v>318</v>
      </c>
      <c r="E163" s="42"/>
      <c r="F163" s="42"/>
    </row>
    <row r="164" customFormat="false" ht="15" hidden="false" customHeight="true" outlineLevel="0" collapsed="false">
      <c r="D164" s="197" t="s">
        <v>319</v>
      </c>
      <c r="E164" s="42"/>
      <c r="F164" s="42"/>
    </row>
    <row r="165" customFormat="false" ht="15" hidden="false" customHeight="true" outlineLevel="0" collapsed="false">
      <c r="D165" s="197" t="s">
        <v>320</v>
      </c>
      <c r="E165" s="42"/>
      <c r="F165" s="42"/>
    </row>
    <row r="166" customFormat="false" ht="15" hidden="false" customHeight="true" outlineLevel="0" collapsed="false">
      <c r="D166" s="197" t="s">
        <v>321</v>
      </c>
      <c r="E166" s="42"/>
      <c r="F166" s="42"/>
    </row>
    <row r="167" customFormat="false" ht="15" hidden="false" customHeight="true" outlineLevel="0" collapsed="false">
      <c r="C167" s="197" t="s">
        <v>322</v>
      </c>
      <c r="D167" s="42"/>
      <c r="E167" s="42"/>
      <c r="F167" s="42"/>
    </row>
    <row r="168" customFormat="false" ht="15" hidden="false" customHeight="true" outlineLevel="0" collapsed="false">
      <c r="D168" s="186" t="s">
        <v>323</v>
      </c>
      <c r="E168" s="42"/>
      <c r="F168" s="42"/>
    </row>
    <row r="169" customFormat="false" ht="15" hidden="false" customHeight="true" outlineLevel="0" collapsed="false">
      <c r="E169" s="196" t="s">
        <v>324</v>
      </c>
      <c r="F169" s="42"/>
    </row>
    <row r="170" customFormat="false" ht="15" hidden="false" customHeight="true" outlineLevel="0" collapsed="false">
      <c r="E170" s="197" t="s">
        <v>325</v>
      </c>
      <c r="F170" s="42"/>
    </row>
    <row r="171" customFormat="false" ht="15" hidden="false" customHeight="true" outlineLevel="0" collapsed="false">
      <c r="E171" s="196" t="s">
        <v>326</v>
      </c>
      <c r="F171" s="42"/>
    </row>
    <row r="172" customFormat="false" ht="15" hidden="false" customHeight="true" outlineLevel="0" collapsed="false">
      <c r="E172" s="196" t="s">
        <v>327</v>
      </c>
      <c r="F172" s="42"/>
    </row>
    <row r="173" customFormat="false" ht="15" hidden="false" customHeight="true" outlineLevel="0" collapsed="false">
      <c r="E173" s="196" t="s">
        <v>328</v>
      </c>
      <c r="F173" s="42"/>
    </row>
    <row r="174" customFormat="false" ht="15" hidden="false" customHeight="true" outlineLevel="0" collapsed="false">
      <c r="E174" s="197" t="s">
        <v>329</v>
      </c>
      <c r="F174" s="42"/>
    </row>
    <row r="175" customFormat="false" ht="15" hidden="false" customHeight="true" outlineLevel="0" collapsed="false">
      <c r="E175" s="196" t="s">
        <v>330</v>
      </c>
      <c r="F175" s="42"/>
    </row>
    <row r="176" customFormat="false" ht="15" hidden="false" customHeight="true" outlineLevel="0" collapsed="false">
      <c r="E176" s="196" t="s">
        <v>331</v>
      </c>
      <c r="F176" s="42"/>
    </row>
    <row r="177" customFormat="false" ht="15" hidden="false" customHeight="true" outlineLevel="0" collapsed="false">
      <c r="E177" s="196" t="s">
        <v>332</v>
      </c>
      <c r="F177" s="42"/>
    </row>
    <row r="178" customFormat="false" ht="15" hidden="false" customHeight="true" outlineLevel="0" collapsed="false">
      <c r="D178" s="186" t="s">
        <v>333</v>
      </c>
      <c r="E178" s="42"/>
      <c r="F178" s="42"/>
    </row>
    <row r="179" customFormat="false" ht="15" hidden="false" customHeight="true" outlineLevel="0" collapsed="false">
      <c r="D179" s="197" t="s">
        <v>334</v>
      </c>
      <c r="E179" s="42"/>
      <c r="F179" s="42"/>
    </row>
    <row r="180" customFormat="false" ht="15" hidden="false" customHeight="true" outlineLevel="0" collapsed="false">
      <c r="D180" s="246" t="s">
        <v>335</v>
      </c>
      <c r="E180" s="42"/>
      <c r="F180" s="42"/>
    </row>
    <row r="181" customFormat="false" ht="15" hidden="false" customHeight="true" outlineLevel="0" collapsed="false">
      <c r="D181" s="197" t="s">
        <v>336</v>
      </c>
      <c r="E181" s="42"/>
      <c r="F181" s="42"/>
    </row>
    <row r="182" customFormat="false" ht="15" hidden="false" customHeight="true" outlineLevel="0" collapsed="false">
      <c r="D182" s="197" t="s">
        <v>337</v>
      </c>
      <c r="E182" s="42"/>
      <c r="F182" s="42"/>
    </row>
    <row r="183" customFormat="false" ht="15" hidden="false" customHeight="true" outlineLevel="0" collapsed="false">
      <c r="D183" s="197" t="s">
        <v>338</v>
      </c>
      <c r="E183" s="42"/>
      <c r="F183" s="42"/>
    </row>
    <row r="184" customFormat="false" ht="15" hidden="false" customHeight="true" outlineLevel="0" collapsed="false">
      <c r="D184" s="197" t="s">
        <v>339</v>
      </c>
      <c r="E184" s="42"/>
      <c r="F184" s="42"/>
    </row>
    <row r="185" customFormat="false" ht="15" hidden="false" customHeight="true" outlineLevel="0" collapsed="false">
      <c r="D185" s="197" t="s">
        <v>340</v>
      </c>
      <c r="E185" s="42"/>
      <c r="F185" s="42"/>
    </row>
    <row r="186" customFormat="false" ht="15" hidden="false" customHeight="true" outlineLevel="0" collapsed="false">
      <c r="D186" s="197" t="s">
        <v>341</v>
      </c>
      <c r="E186" s="42"/>
      <c r="F186" s="42"/>
    </row>
    <row r="187" customFormat="false" ht="15" hidden="false" customHeight="true" outlineLevel="0" collapsed="false">
      <c r="D187" s="197" t="s">
        <v>342</v>
      </c>
      <c r="E187" s="42"/>
      <c r="F187" s="42"/>
    </row>
    <row r="188" customFormat="false" ht="15" hidden="false" customHeight="true" outlineLevel="0" collapsed="false">
      <c r="D188" s="197" t="s">
        <v>343</v>
      </c>
      <c r="E188" s="42"/>
      <c r="F188" s="42"/>
    </row>
    <row r="189" customFormat="false" ht="15" hidden="false" customHeight="true" outlineLevel="0" collapsed="false">
      <c r="D189" s="197" t="s">
        <v>344</v>
      </c>
      <c r="E189" s="42"/>
      <c r="F189" s="42"/>
    </row>
    <row r="190" customFormat="false" ht="15" hidden="false" customHeight="true" outlineLevel="0" collapsed="false">
      <c r="D190" s="246" t="s">
        <v>329</v>
      </c>
      <c r="E190" s="42"/>
      <c r="F190" s="42"/>
    </row>
    <row r="191" customFormat="false" ht="15" hidden="false" customHeight="true" outlineLevel="0" collapsed="false">
      <c r="D191" s="197" t="s">
        <v>345</v>
      </c>
      <c r="E191" s="42"/>
      <c r="F191" s="42"/>
    </row>
    <row r="192" customFormat="false" ht="15" hidden="false" customHeight="true" outlineLevel="0" collapsed="false">
      <c r="D192" s="197" t="s">
        <v>346</v>
      </c>
      <c r="E192" s="42"/>
      <c r="F192" s="42"/>
    </row>
    <row r="193" customFormat="false" ht="15" hidden="false" customHeight="true" outlineLevel="0" collapsed="false">
      <c r="D193" s="197"/>
      <c r="E193" s="42"/>
      <c r="F193" s="42"/>
    </row>
    <row r="194" customFormat="false" ht="15" hidden="false" customHeight="true" outlineLevel="0" collapsed="false">
      <c r="B194" s="186" t="s">
        <v>347</v>
      </c>
      <c r="C194" s="42"/>
      <c r="D194" s="42"/>
      <c r="E194" s="42"/>
      <c r="F194" s="42"/>
    </row>
    <row r="195" customFormat="false" ht="15" hidden="false" customHeight="true" outlineLevel="0" collapsed="false">
      <c r="C195" s="196" t="s">
        <v>348</v>
      </c>
      <c r="D195" s="42"/>
      <c r="E195" s="42"/>
      <c r="F195" s="42"/>
    </row>
    <row r="196" customFormat="false" ht="15" hidden="false" customHeight="true" outlineLevel="0" collapsed="false">
      <c r="C196" s="196" t="s">
        <v>349</v>
      </c>
      <c r="D196" s="42"/>
      <c r="E196" s="42"/>
      <c r="F196" s="42"/>
    </row>
    <row r="197" customFormat="false" ht="15" hidden="false" customHeight="true" outlineLevel="0" collapsed="false">
      <c r="C197" s="196" t="s">
        <v>350</v>
      </c>
      <c r="D197" s="42"/>
      <c r="E197" s="42"/>
      <c r="F197" s="42"/>
    </row>
    <row r="198" customFormat="false" ht="15" hidden="false" customHeight="true" outlineLevel="0" collapsed="false">
      <c r="C198" s="186" t="s">
        <v>351</v>
      </c>
      <c r="D198" s="42"/>
      <c r="E198" s="42"/>
      <c r="F198" s="42"/>
    </row>
    <row r="199" customFormat="false" ht="15" hidden="false" customHeight="true" outlineLevel="0" collapsed="false">
      <c r="D199" s="196" t="s">
        <v>352</v>
      </c>
      <c r="E199" s="42"/>
      <c r="F199" s="42"/>
    </row>
    <row r="200" customFormat="false" ht="15" hidden="false" customHeight="true" outlineLevel="0" collapsed="false">
      <c r="D200" s="196" t="s">
        <v>353</v>
      </c>
      <c r="E200" s="42"/>
      <c r="F200" s="42"/>
    </row>
    <row r="201" customFormat="false" ht="15" hidden="false" customHeight="true" outlineLevel="0" collapsed="false">
      <c r="D201" s="196" t="s">
        <v>354</v>
      </c>
      <c r="E201" s="42"/>
      <c r="F201" s="42"/>
    </row>
    <row r="202" customFormat="false" ht="15" hidden="false" customHeight="true" outlineLevel="0" collapsed="false">
      <c r="D202" s="196" t="s">
        <v>355</v>
      </c>
      <c r="E202" s="42"/>
      <c r="F202" s="42"/>
    </row>
    <row r="203" customFormat="false" ht="15" hidden="false" customHeight="true" outlineLevel="0" collapsed="false">
      <c r="D203" s="196" t="s">
        <v>356</v>
      </c>
      <c r="E203" s="42"/>
      <c r="F203" s="42"/>
    </row>
    <row r="204" customFormat="false" ht="15" hidden="false" customHeight="true" outlineLevel="0" collapsed="false">
      <c r="D204" s="196" t="s">
        <v>357</v>
      </c>
      <c r="E204" s="42"/>
      <c r="F204" s="42"/>
    </row>
    <row r="205" customFormat="false" ht="15" hidden="false" customHeight="true" outlineLevel="0" collapsed="false">
      <c r="D205" s="196" t="s">
        <v>358</v>
      </c>
      <c r="E205" s="42"/>
      <c r="F205" s="42"/>
    </row>
    <row r="206" customFormat="false" ht="15" hidden="false" customHeight="true" outlineLevel="0" collapsed="false">
      <c r="C206" s="186" t="s">
        <v>359</v>
      </c>
      <c r="D206" s="42"/>
      <c r="E206" s="42"/>
      <c r="F206" s="42"/>
    </row>
    <row r="207" customFormat="false" ht="15" hidden="false" customHeight="true" outlineLevel="0" collapsed="false">
      <c r="D207" s="196" t="s">
        <v>360</v>
      </c>
      <c r="E207" s="42"/>
      <c r="F207" s="42"/>
    </row>
    <row r="208" customFormat="false" ht="15" hidden="false" customHeight="true" outlineLevel="0" collapsed="false">
      <c r="D208" s="196" t="s">
        <v>361</v>
      </c>
      <c r="E208" s="42"/>
      <c r="F208" s="42"/>
    </row>
    <row r="209" customFormat="false" ht="15" hidden="false" customHeight="true" outlineLevel="0" collapsed="false">
      <c r="D209" s="196" t="s">
        <v>362</v>
      </c>
      <c r="E209" s="42"/>
      <c r="F209" s="42"/>
    </row>
    <row r="210" customFormat="false" ht="15" hidden="false" customHeight="true" outlineLevel="0" collapsed="false">
      <c r="D210" s="197" t="s">
        <v>363</v>
      </c>
      <c r="E210" s="42"/>
      <c r="F210" s="42"/>
    </row>
    <row r="211" customFormat="false" ht="15" hidden="false" customHeight="true" outlineLevel="0" collapsed="false">
      <c r="D211" s="196" t="s">
        <v>364</v>
      </c>
      <c r="E211" s="42"/>
      <c r="F211" s="42"/>
    </row>
    <row r="212" customFormat="false" ht="15" hidden="false" customHeight="true" outlineLevel="0" collapsed="false">
      <c r="D212" s="197" t="s">
        <v>365</v>
      </c>
      <c r="E212" s="42"/>
      <c r="F212" s="42"/>
    </row>
    <row r="213" customFormat="false" ht="15" hidden="false" customHeight="true" outlineLevel="0" collapsed="false">
      <c r="D213" s="196" t="s">
        <v>366</v>
      </c>
      <c r="E213" s="42"/>
      <c r="F213" s="42"/>
    </row>
    <row r="214" customFormat="false" ht="15" hidden="false" customHeight="true" outlineLevel="0" collapsed="false">
      <c r="D214" s="196" t="s">
        <v>367</v>
      </c>
      <c r="E214" s="42"/>
      <c r="F214" s="42"/>
    </row>
    <row r="215" customFormat="false" ht="15" hidden="false" customHeight="true" outlineLevel="0" collapsed="false">
      <c r="D215" s="196"/>
      <c r="E215" s="42"/>
      <c r="F215" s="42"/>
    </row>
    <row r="216" customFormat="false" ht="15" hidden="false" customHeight="true" outlineLevel="0" collapsed="false">
      <c r="B216" s="186" t="s">
        <v>368</v>
      </c>
      <c r="C216" s="42"/>
      <c r="D216" s="42"/>
      <c r="E216" s="42"/>
      <c r="F216" s="42"/>
    </row>
    <row r="217" customFormat="false" ht="15" hidden="false" customHeight="true" outlineLevel="0" collapsed="false">
      <c r="C217" s="186" t="s">
        <v>205</v>
      </c>
      <c r="D217" s="42"/>
      <c r="E217" s="42"/>
      <c r="F217" s="42"/>
    </row>
    <row r="218" customFormat="false" ht="15" hidden="false" customHeight="true" outlineLevel="0" collapsed="false">
      <c r="D218" s="196" t="s">
        <v>369</v>
      </c>
      <c r="E218" s="42"/>
      <c r="F218" s="42"/>
    </row>
    <row r="219" customFormat="false" ht="15" hidden="false" customHeight="true" outlineLevel="0" collapsed="false">
      <c r="D219" s="196" t="s">
        <v>370</v>
      </c>
      <c r="E219" s="42"/>
      <c r="F219" s="42"/>
    </row>
    <row r="220" customFormat="false" ht="15" hidden="false" customHeight="true" outlineLevel="0" collapsed="false">
      <c r="D220" s="196" t="s">
        <v>371</v>
      </c>
      <c r="E220" s="42"/>
      <c r="F220" s="42"/>
    </row>
    <row r="221" customFormat="false" ht="15" hidden="false" customHeight="true" outlineLevel="0" collapsed="false">
      <c r="C221" s="186" t="s">
        <v>372</v>
      </c>
      <c r="D221" s="42"/>
      <c r="E221" s="42"/>
      <c r="F221" s="42"/>
    </row>
    <row r="222" customFormat="false" ht="15" hidden="false" customHeight="true" outlineLevel="0" collapsed="false">
      <c r="D222" s="196" t="s">
        <v>373</v>
      </c>
      <c r="E222" s="42"/>
      <c r="F222" s="42"/>
    </row>
    <row r="223" customFormat="false" ht="15" hidden="false" customHeight="true" outlineLevel="0" collapsed="false">
      <c r="D223" s="197" t="s">
        <v>374</v>
      </c>
      <c r="E223" s="42"/>
      <c r="F223" s="42"/>
    </row>
    <row r="224" customFormat="false" ht="15" hidden="false" customHeight="true" outlineLevel="0" collapsed="false">
      <c r="D224" s="197" t="s">
        <v>375</v>
      </c>
      <c r="E224" s="42"/>
      <c r="F224" s="42"/>
    </row>
    <row r="225" customFormat="false" ht="15" hidden="false" customHeight="true" outlineLevel="0" collapsed="false">
      <c r="D225" s="197" t="s">
        <v>376</v>
      </c>
      <c r="E225" s="42"/>
      <c r="F225" s="42"/>
    </row>
    <row r="226" customFormat="false" ht="15" hidden="false" customHeight="true" outlineLevel="0" collapsed="false">
      <c r="D226" s="196" t="s">
        <v>377</v>
      </c>
      <c r="E226" s="42"/>
      <c r="F226" s="42"/>
    </row>
    <row r="227" customFormat="false" ht="15" hidden="false" customHeight="true" outlineLevel="0" collapsed="false">
      <c r="D227" s="197" t="s">
        <v>378</v>
      </c>
      <c r="E227" s="42"/>
      <c r="F227" s="42"/>
    </row>
    <row r="228" customFormat="false" ht="15" hidden="false" customHeight="true" outlineLevel="0" collapsed="false">
      <c r="D228" s="197" t="s">
        <v>379</v>
      </c>
      <c r="E228" s="42"/>
      <c r="F228" s="42"/>
    </row>
    <row r="229" customFormat="false" ht="15" hidden="false" customHeight="true" outlineLevel="0" collapsed="false">
      <c r="D229" s="197" t="s">
        <v>380</v>
      </c>
      <c r="E229" s="42"/>
      <c r="F229" s="42"/>
    </row>
    <row r="230" customFormat="false" ht="15" hidden="false" customHeight="true" outlineLevel="0" collapsed="false">
      <c r="D230" s="196" t="s">
        <v>381</v>
      </c>
      <c r="E230" s="42"/>
      <c r="F230" s="42"/>
    </row>
    <row r="231" customFormat="false" ht="15" hidden="false" customHeight="true" outlineLevel="0" collapsed="false">
      <c r="D231" s="197" t="s">
        <v>382</v>
      </c>
      <c r="E231" s="42"/>
      <c r="F231" s="42"/>
    </row>
    <row r="232" customFormat="false" ht="15" hidden="false" customHeight="true" outlineLevel="0" collapsed="false">
      <c r="D232" s="197" t="s">
        <v>383</v>
      </c>
      <c r="E232" s="42"/>
      <c r="F232" s="42"/>
    </row>
    <row r="233" customFormat="false" ht="15" hidden="false" customHeight="true" outlineLevel="0" collapsed="false">
      <c r="D233" s="197" t="s">
        <v>384</v>
      </c>
      <c r="E233" s="42"/>
      <c r="F233" s="42"/>
    </row>
    <row r="234" customFormat="false" ht="15" hidden="false" customHeight="true" outlineLevel="0" collapsed="false">
      <c r="D234" s="246" t="s">
        <v>385</v>
      </c>
      <c r="E234" s="42"/>
      <c r="F234" s="42"/>
    </row>
    <row r="235" customFormat="false" ht="15" hidden="false" customHeight="true" outlineLevel="0" collapsed="false">
      <c r="D235" s="197" t="s">
        <v>386</v>
      </c>
      <c r="E235" s="42"/>
      <c r="F235" s="42"/>
    </row>
    <row r="236" customFormat="false" ht="15" hidden="false" customHeight="true" outlineLevel="0" collapsed="false">
      <c r="D236" s="246" t="s">
        <v>387</v>
      </c>
      <c r="E236" s="42"/>
      <c r="F236" s="42"/>
    </row>
    <row r="237" customFormat="false" ht="15" hidden="false" customHeight="true" outlineLevel="0" collapsed="false">
      <c r="D237" s="197" t="s">
        <v>388</v>
      </c>
      <c r="E237" s="42"/>
      <c r="F237" s="42"/>
    </row>
    <row r="238" customFormat="false" ht="15" hidden="false" customHeight="true" outlineLevel="0" collapsed="false">
      <c r="D238" s="197" t="s">
        <v>389</v>
      </c>
      <c r="E238" s="42"/>
      <c r="F238" s="42"/>
    </row>
    <row r="239" customFormat="false" ht="15" hidden="false" customHeight="true" outlineLevel="0" collapsed="false">
      <c r="D239" s="246" t="s">
        <v>390</v>
      </c>
      <c r="E239" s="42"/>
      <c r="F239" s="42"/>
    </row>
    <row r="240" customFormat="false" ht="15" hidden="false" customHeight="true" outlineLevel="0" collapsed="false">
      <c r="D240" s="197" t="s">
        <v>391</v>
      </c>
      <c r="E240" s="42"/>
      <c r="F240" s="42"/>
    </row>
    <row r="241" customFormat="false" ht="15" hidden="false" customHeight="true" outlineLevel="0" collapsed="false">
      <c r="D241" s="197" t="s">
        <v>392</v>
      </c>
      <c r="E241" s="42"/>
      <c r="F241" s="42"/>
    </row>
    <row r="242" customFormat="false" ht="15" hidden="false" customHeight="true" outlineLevel="0" collapsed="false">
      <c r="D242" s="197" t="s">
        <v>393</v>
      </c>
      <c r="E242" s="42"/>
      <c r="F242" s="42"/>
    </row>
    <row r="243" customFormat="false" ht="15" hidden="false" customHeight="true" outlineLevel="0" collapsed="false"/>
    <row r="244" customFormat="false" ht="15" hidden="false" customHeight="true" outlineLevel="0" collapsed="false">
      <c r="B244" s="172" t="s">
        <v>394</v>
      </c>
      <c r="D244" s="197"/>
      <c r="E244" s="42"/>
      <c r="K244" s="197"/>
    </row>
    <row r="245" customFormat="false" ht="15" hidden="false" customHeight="true" outlineLevel="0" collapsed="false">
      <c r="C245" s="173" t="s">
        <v>395</v>
      </c>
    </row>
    <row r="246" customFormat="false" ht="15" hidden="false" customHeight="true" outlineLevel="0" collapsed="false">
      <c r="D246" s="247" t="s">
        <v>396</v>
      </c>
    </row>
    <row r="247" customFormat="false" ht="15" hidden="false" customHeight="true" outlineLevel="0" collapsed="false">
      <c r="D247" s="247" t="s">
        <v>397</v>
      </c>
    </row>
    <row r="248" customFormat="false" ht="15" hidden="false" customHeight="true" outlineLevel="0" collapsed="false">
      <c r="D248" s="247" t="s">
        <v>398</v>
      </c>
    </row>
    <row r="249" customFormat="false" ht="15" hidden="false" customHeight="true" outlineLevel="0" collapsed="false">
      <c r="D249" s="247" t="s">
        <v>399</v>
      </c>
    </row>
    <row r="250" customFormat="false" ht="15" hidden="false" customHeight="true" outlineLevel="0" collapsed="false">
      <c r="D250" s="247" t="s">
        <v>400</v>
      </c>
    </row>
    <row r="251" customFormat="false" ht="15" hidden="false" customHeight="true" outlineLevel="0" collapsed="false">
      <c r="C251" s="173" t="s">
        <v>401</v>
      </c>
    </row>
    <row r="252" customFormat="false" ht="15" hidden="false" customHeight="true" outlineLevel="0" collapsed="false">
      <c r="D252" s="247" t="s">
        <v>402</v>
      </c>
    </row>
    <row r="253" customFormat="false" ht="15" hidden="false" customHeight="true" outlineLevel="0" collapsed="false">
      <c r="D253" s="247" t="s">
        <v>403</v>
      </c>
    </row>
    <row r="254" customFormat="false" ht="15" hidden="false" customHeight="true" outlineLevel="0" collapsed="false">
      <c r="D254" s="247" t="s">
        <v>404</v>
      </c>
    </row>
    <row r="255" customFormat="false" ht="15" hidden="false" customHeight="true" outlineLevel="0" collapsed="false">
      <c r="D255" s="247" t="s">
        <v>405</v>
      </c>
    </row>
    <row r="256" customFormat="false" ht="15" hidden="false" customHeight="true" outlineLevel="0" collapsed="false">
      <c r="D256" s="247" t="s">
        <v>406</v>
      </c>
    </row>
    <row r="257" customFormat="false" ht="15" hidden="false" customHeight="true" outlineLevel="0" collapsed="false">
      <c r="D257" s="247" t="s">
        <v>407</v>
      </c>
    </row>
    <row r="258" customFormat="false" ht="15" hidden="false" customHeight="true" outlineLevel="0" collapsed="false">
      <c r="D258" s="247" t="s">
        <v>408</v>
      </c>
    </row>
    <row r="259" customFormat="false" ht="15" hidden="false" customHeight="true" outlineLevel="0" collapsed="false"/>
    <row r="260" customFormat="false" ht="15" hidden="false" customHeight="true" outlineLevel="0" collapsed="false">
      <c r="B260" s="248" t="s">
        <v>409</v>
      </c>
    </row>
    <row r="261" customFormat="false" ht="15" hidden="false" customHeight="true" outlineLevel="0" collapsed="false">
      <c r="B261" s="173" t="s">
        <v>410</v>
      </c>
    </row>
    <row r="262" customFormat="false" ht="15" hidden="false" customHeight="true" outlineLevel="0" collapsed="false">
      <c r="C262" s="247" t="s">
        <v>411</v>
      </c>
    </row>
    <row r="263" customFormat="false" ht="15" hidden="false" customHeight="true" outlineLevel="0" collapsed="false">
      <c r="C263" s="247" t="s">
        <v>412</v>
      </c>
    </row>
    <row r="264" customFormat="false" ht="15" hidden="false" customHeight="true" outlineLevel="0" collapsed="false">
      <c r="C264" s="247" t="s">
        <v>413</v>
      </c>
    </row>
    <row r="265" customFormat="false" ht="15" hidden="false" customHeight="true" outlineLevel="0" collapsed="false">
      <c r="D265" s="173" t="s">
        <v>414</v>
      </c>
    </row>
    <row r="266" customFormat="false" ht="15" hidden="false" customHeight="true" outlineLevel="0" collapsed="false">
      <c r="D266" s="173" t="s">
        <v>415</v>
      </c>
    </row>
    <row r="267" customFormat="false" ht="15" hidden="false" customHeight="true" outlineLevel="0" collapsed="false">
      <c r="D267" s="173" t="s">
        <v>416</v>
      </c>
    </row>
    <row r="268" customFormat="false" ht="15" hidden="false" customHeight="true" outlineLevel="0" collapsed="false">
      <c r="D268" s="173" t="s">
        <v>417</v>
      </c>
    </row>
    <row r="269" customFormat="false" ht="15" hidden="false" customHeight="true" outlineLevel="0" collapsed="false">
      <c r="D269" s="173" t="s">
        <v>418</v>
      </c>
    </row>
    <row r="270" customFormat="false" ht="15" hidden="false" customHeight="true" outlineLevel="0" collapsed="false">
      <c r="D270" s="173" t="s">
        <v>419</v>
      </c>
    </row>
    <row r="271" customFormat="false" ht="15" hidden="false" customHeight="true" outlineLevel="0" collapsed="false">
      <c r="D271" s="173" t="s">
        <v>420</v>
      </c>
    </row>
    <row r="272" customFormat="false" ht="15" hidden="false" customHeight="true" outlineLevel="0" collapsed="false">
      <c r="D272" s="173" t="s">
        <v>421</v>
      </c>
    </row>
    <row r="273" customFormat="false" ht="15" hidden="false" customHeight="true" outlineLevel="0" collapsed="false">
      <c r="C273" s="247" t="s">
        <v>422</v>
      </c>
    </row>
    <row r="274" customFormat="false" ht="15" hidden="false" customHeight="true" outlineLevel="0" collapsed="false"/>
    <row r="275" customFormat="false" ht="15" hidden="false" customHeight="true" outlineLevel="0" collapsed="false">
      <c r="B275" s="173" t="s">
        <v>423</v>
      </c>
    </row>
    <row r="276" customFormat="false" ht="15" hidden="false" customHeight="true" outlineLevel="0" collapsed="false">
      <c r="C276" s="247" t="s">
        <v>424</v>
      </c>
    </row>
    <row r="277" customFormat="false" ht="15" hidden="false" customHeight="true" outlineLevel="0" collapsed="false">
      <c r="C277" s="247" t="s">
        <v>425</v>
      </c>
    </row>
    <row r="278" customFormat="false" ht="15" hidden="false" customHeight="true" outlineLevel="0" collapsed="false">
      <c r="C278" s="247" t="s">
        <v>413</v>
      </c>
    </row>
    <row r="279" customFormat="false" ht="15" hidden="false" customHeight="true" outlineLevel="0" collapsed="false">
      <c r="D279" s="247" t="s">
        <v>426</v>
      </c>
    </row>
    <row r="280" customFormat="false" ht="15" hidden="false" customHeight="true" outlineLevel="0" collapsed="false">
      <c r="D280" s="247" t="s">
        <v>427</v>
      </c>
    </row>
    <row r="281" customFormat="false" ht="15" hidden="false" customHeight="true" outlineLevel="0" collapsed="false">
      <c r="D281" s="173" t="s">
        <v>428</v>
      </c>
    </row>
    <row r="282" customFormat="false" ht="15" hidden="false" customHeight="true" outlineLevel="0" collapsed="false">
      <c r="D282" s="173" t="s">
        <v>429</v>
      </c>
    </row>
    <row r="283" customFormat="false" ht="15" hidden="false" customHeight="true" outlineLevel="0" collapsed="false">
      <c r="D283" s="173" t="s">
        <v>430</v>
      </c>
    </row>
    <row r="284" customFormat="false" ht="15" hidden="false" customHeight="true" outlineLevel="0" collapsed="false">
      <c r="D284" s="173" t="s">
        <v>431</v>
      </c>
    </row>
    <row r="285" customFormat="false" ht="15" hidden="false" customHeight="true" outlineLevel="0" collapsed="false">
      <c r="D285" s="173" t="s">
        <v>432</v>
      </c>
    </row>
    <row r="286" customFormat="false" ht="15" hidden="false" customHeight="true" outlineLevel="0" collapsed="false">
      <c r="D286" s="173" t="s">
        <v>433</v>
      </c>
    </row>
    <row r="287" customFormat="false" ht="15" hidden="false" customHeight="true" outlineLevel="0" collapsed="false">
      <c r="D287" s="173" t="s">
        <v>434</v>
      </c>
    </row>
    <row r="288" customFormat="false" ht="15" hidden="false" customHeight="true" outlineLevel="0" collapsed="false">
      <c r="D288" s="173" t="s">
        <v>435</v>
      </c>
    </row>
    <row r="289" customFormat="false" ht="15" hidden="false" customHeight="true" outlineLevel="0" collapsed="false">
      <c r="D289" s="173" t="s">
        <v>436</v>
      </c>
    </row>
    <row r="290" customFormat="false" ht="15" hidden="false" customHeight="true" outlineLevel="0" collapsed="false">
      <c r="D290" s="173" t="s">
        <v>437</v>
      </c>
    </row>
    <row r="291" customFormat="false" ht="15" hidden="false" customHeight="true" outlineLevel="0" collapsed="false">
      <c r="D291" s="173" t="s">
        <v>438</v>
      </c>
    </row>
    <row r="292" customFormat="false" ht="15" hidden="false" customHeight="true" outlineLevel="0" collapsed="false">
      <c r="D292" s="173" t="s">
        <v>439</v>
      </c>
    </row>
    <row r="293" customFormat="false" ht="15" hidden="false" customHeight="true" outlineLevel="0" collapsed="false">
      <c r="D293" s="173" t="s">
        <v>440</v>
      </c>
    </row>
    <row r="294" customFormat="false" ht="15" hidden="false" customHeight="true" outlineLevel="0" collapsed="false">
      <c r="D294" s="173" t="s">
        <v>441</v>
      </c>
    </row>
    <row r="295" customFormat="false" ht="15" hidden="false" customHeight="true" outlineLevel="0" collapsed="false">
      <c r="D295" s="173" t="s">
        <v>442</v>
      </c>
    </row>
    <row r="296" customFormat="false" ht="15" hidden="false" customHeight="true" outlineLevel="0" collapsed="false">
      <c r="D296" s="173" t="s">
        <v>443</v>
      </c>
    </row>
    <row r="297" customFormat="false" ht="15" hidden="false" customHeight="true" outlineLevel="0" collapsed="false">
      <c r="D297" s="173" t="s">
        <v>444</v>
      </c>
    </row>
    <row r="298" customFormat="false" ht="15" hidden="false" customHeight="true" outlineLevel="0" collapsed="false">
      <c r="D298" s="173" t="s">
        <v>445</v>
      </c>
    </row>
    <row r="299" customFormat="false" ht="15" hidden="false" customHeight="true" outlineLevel="0" collapsed="false">
      <c r="D299" s="173" t="s">
        <v>446</v>
      </c>
    </row>
    <row r="300" customFormat="false" ht="15" hidden="false" customHeight="true" outlineLevel="0" collapsed="false">
      <c r="D300" s="173" t="s">
        <v>447</v>
      </c>
    </row>
    <row r="301" customFormat="false" ht="15" hidden="false" customHeight="true" outlineLevel="0" collapsed="false">
      <c r="C301" s="247" t="s">
        <v>448</v>
      </c>
    </row>
    <row r="302" customFormat="false" ht="15" hidden="false" customHeight="true" outlineLevel="0" collapsed="false"/>
    <row r="303" customFormat="false" ht="15" hidden="false" customHeight="true" outlineLevel="0" collapsed="false">
      <c r="B303" s="173" t="s">
        <v>449</v>
      </c>
    </row>
    <row r="304" customFormat="false" ht="15" hidden="false" customHeight="true" outlineLevel="0" collapsed="false">
      <c r="C304" s="247" t="s">
        <v>450</v>
      </c>
    </row>
    <row r="305" customFormat="false" ht="15" hidden="false" customHeight="true" outlineLevel="0" collapsed="false">
      <c r="C305" s="247" t="s">
        <v>451</v>
      </c>
    </row>
    <row r="306" customFormat="false" ht="15" hidden="false" customHeight="true" outlineLevel="0" collapsed="false">
      <c r="C306" s="247" t="s">
        <v>452</v>
      </c>
    </row>
    <row r="307" customFormat="false" ht="15" hidden="false" customHeight="true" outlineLevel="0" collapsed="false">
      <c r="D307" s="173" t="s">
        <v>453</v>
      </c>
    </row>
    <row r="308" customFormat="false" ht="15" hidden="false" customHeight="true" outlineLevel="0" collapsed="false">
      <c r="D308" s="173" t="s">
        <v>454</v>
      </c>
    </row>
    <row r="309" customFormat="false" ht="15" hidden="false" customHeight="true" outlineLevel="0" collapsed="false">
      <c r="D309" s="173" t="s">
        <v>455</v>
      </c>
    </row>
    <row r="310" customFormat="false" ht="15" hidden="false" customHeight="true" outlineLevel="0" collapsed="false">
      <c r="D310" s="173" t="s">
        <v>456</v>
      </c>
    </row>
    <row r="311" customFormat="false" ht="15" hidden="false" customHeight="true" outlineLevel="0" collapsed="false">
      <c r="D311" s="173" t="s">
        <v>457</v>
      </c>
    </row>
    <row r="313" customFormat="false" ht="15" hidden="false" customHeight="true" outlineLevel="0" collapsed="false">
      <c r="B313" s="173" t="s">
        <v>458</v>
      </c>
    </row>
    <row r="314" customFormat="false" ht="15" hidden="false" customHeight="true" outlineLevel="0" collapsed="false">
      <c r="C314" s="247" t="s">
        <v>459</v>
      </c>
    </row>
    <row r="315" customFormat="false" ht="15" hidden="false" customHeight="true" outlineLevel="0" collapsed="false">
      <c r="C315" s="247" t="s">
        <v>460</v>
      </c>
    </row>
    <row r="316" customFormat="false" ht="15" hidden="false" customHeight="true" outlineLevel="0" collapsed="false">
      <c r="C316" s="247" t="s">
        <v>461</v>
      </c>
    </row>
    <row r="318" customFormat="false" ht="15" hidden="false" customHeight="true" outlineLevel="0" collapsed="false">
      <c r="B318" s="173" t="s">
        <v>462</v>
      </c>
    </row>
    <row r="319" customFormat="false" ht="15" hidden="false" customHeight="true" outlineLevel="0" collapsed="false">
      <c r="C319" s="247" t="s">
        <v>463</v>
      </c>
    </row>
    <row r="320" customFormat="false" ht="15" hidden="false" customHeight="true" outlineLevel="0" collapsed="false">
      <c r="C320" s="247" t="s">
        <v>464</v>
      </c>
    </row>
    <row r="321" customFormat="false" ht="15" hidden="false" customHeight="true" outlineLevel="0" collapsed="false">
      <c r="C321" s="247" t="s">
        <v>465</v>
      </c>
    </row>
    <row r="322" customFormat="false" ht="15" hidden="false" customHeight="true" outlineLevel="0" collapsed="false">
      <c r="C322" s="247" t="s">
        <v>466</v>
      </c>
    </row>
    <row r="324" customFormat="false" ht="15" hidden="false" customHeight="true" outlineLevel="0" collapsed="false">
      <c r="B324" s="173" t="s">
        <v>467</v>
      </c>
    </row>
    <row r="325" customFormat="false" ht="15" hidden="false" customHeight="true" outlineLevel="0" collapsed="false">
      <c r="C325" s="247" t="s">
        <v>468</v>
      </c>
    </row>
    <row r="326" customFormat="false" ht="15" hidden="false" customHeight="true" outlineLevel="0" collapsed="false">
      <c r="C326" s="247" t="s">
        <v>469</v>
      </c>
    </row>
    <row r="327" customFormat="false" ht="15" hidden="false" customHeight="true" outlineLevel="0" collapsed="false">
      <c r="C327" s="247" t="s">
        <v>413</v>
      </c>
    </row>
    <row r="328" customFormat="false" ht="15" hidden="false" customHeight="true" outlineLevel="0" collapsed="false">
      <c r="D328" s="173" t="s">
        <v>470</v>
      </c>
    </row>
    <row r="329" customFormat="false" ht="15" hidden="false" customHeight="true" outlineLevel="0" collapsed="false">
      <c r="D329" s="173" t="s">
        <v>471</v>
      </c>
    </row>
    <row r="330" customFormat="false" ht="15" hidden="false" customHeight="true" outlineLevel="0" collapsed="false">
      <c r="D330" s="173" t="s">
        <v>472</v>
      </c>
    </row>
    <row r="331" customFormat="false" ht="15" hidden="false" customHeight="true" outlineLevel="0" collapsed="false">
      <c r="D331" s="173" t="s">
        <v>473</v>
      </c>
    </row>
    <row r="332" customFormat="false" ht="15" hidden="false" customHeight="true" outlineLevel="0" collapsed="false">
      <c r="D332" s="173" t="s">
        <v>474</v>
      </c>
    </row>
    <row r="333" customFormat="false" ht="15" hidden="false" customHeight="true" outlineLevel="0" collapsed="false">
      <c r="C333" s="247" t="s">
        <v>475</v>
      </c>
    </row>
    <row r="335" customFormat="false" ht="15" hidden="false" customHeight="true" outlineLevel="0" collapsed="false">
      <c r="B335" s="248" t="s">
        <v>476</v>
      </c>
    </row>
    <row r="336" customFormat="false" ht="15" hidden="false" customHeight="true" outlineLevel="0" collapsed="false">
      <c r="B336" s="173" t="s">
        <v>477</v>
      </c>
    </row>
    <row r="337" customFormat="false" ht="15" hidden="false" customHeight="true" outlineLevel="0" collapsed="false">
      <c r="C337" s="247" t="s">
        <v>478</v>
      </c>
    </row>
    <row r="338" customFormat="false" ht="15" hidden="false" customHeight="true" outlineLevel="0" collapsed="false">
      <c r="C338" s="173" t="s">
        <v>479</v>
      </c>
    </row>
    <row r="339" customFormat="false" ht="15" hidden="false" customHeight="true" outlineLevel="0" collapsed="false">
      <c r="C339" s="173" t="s">
        <v>480</v>
      </c>
    </row>
    <row r="340" customFormat="false" ht="15" hidden="false" customHeight="true" outlineLevel="0" collapsed="false">
      <c r="C340" s="173" t="s">
        <v>481</v>
      </c>
    </row>
    <row r="341" customFormat="false" ht="15" hidden="false" customHeight="true" outlineLevel="0" collapsed="false">
      <c r="C341" s="173" t="s">
        <v>482</v>
      </c>
    </row>
    <row r="343" customFormat="false" ht="15" hidden="false" customHeight="true" outlineLevel="0" collapsed="false">
      <c r="B343" s="173" t="s">
        <v>483</v>
      </c>
    </row>
    <row r="344" customFormat="false" ht="15" hidden="false" customHeight="true" outlineLevel="0" collapsed="false">
      <c r="C344" s="173" t="s">
        <v>484</v>
      </c>
    </row>
    <row r="345" customFormat="false" ht="15" hidden="false" customHeight="true" outlineLevel="0" collapsed="false">
      <c r="C345" s="173" t="s">
        <v>485</v>
      </c>
    </row>
    <row r="346" customFormat="false" ht="15" hidden="false" customHeight="true" outlineLevel="0" collapsed="false">
      <c r="D346" s="247" t="s">
        <v>486</v>
      </c>
    </row>
    <row r="348" customFormat="false" ht="15" hidden="false" customHeight="true" outlineLevel="0" collapsed="false">
      <c r="B348" s="173" t="s">
        <v>487</v>
      </c>
    </row>
    <row r="349" customFormat="false" ht="15" hidden="false" customHeight="true" outlineLevel="0" collapsed="false">
      <c r="C349" s="247" t="s">
        <v>488</v>
      </c>
    </row>
    <row r="350" customFormat="false" ht="15" hidden="false" customHeight="true" outlineLevel="0" collapsed="false">
      <c r="C350" s="173" t="s">
        <v>489</v>
      </c>
    </row>
    <row r="351" customFormat="false" ht="15" hidden="false" customHeight="true" outlineLevel="0" collapsed="false">
      <c r="D351" s="247" t="s">
        <v>490</v>
      </c>
    </row>
    <row r="352" customFormat="false" ht="15" hidden="false" customHeight="true" outlineLevel="0" collapsed="false">
      <c r="C352" s="173" t="s">
        <v>491</v>
      </c>
    </row>
    <row r="353" customFormat="false" ht="15" hidden="false" customHeight="true" outlineLevel="0" collapsed="false">
      <c r="D353" s="247" t="s">
        <v>492</v>
      </c>
    </row>
    <row r="354" customFormat="false" ht="15" hidden="false" customHeight="true" outlineLevel="0" collapsed="false">
      <c r="C354" s="173" t="s">
        <v>493</v>
      </c>
    </row>
    <row r="355" customFormat="false" ht="15" hidden="false" customHeight="true" outlineLevel="0" collapsed="false">
      <c r="D355" s="247" t="s">
        <v>494</v>
      </c>
    </row>
    <row r="356" customFormat="false" ht="15" hidden="false" customHeight="true" outlineLevel="0" collapsed="false">
      <c r="C356" s="173" t="s">
        <v>495</v>
      </c>
    </row>
    <row r="357" customFormat="false" ht="15" hidden="false" customHeight="true" outlineLevel="0" collapsed="false">
      <c r="D357" s="247" t="s">
        <v>496</v>
      </c>
    </row>
    <row r="359" customFormat="false" ht="15" hidden="false" customHeight="true" outlineLevel="0" collapsed="false">
      <c r="B359" s="173" t="s">
        <v>497</v>
      </c>
    </row>
    <row r="360" customFormat="false" ht="15" hidden="false" customHeight="true" outlineLevel="0" collapsed="false">
      <c r="C360" s="247" t="s">
        <v>498</v>
      </c>
    </row>
    <row r="361" customFormat="false" ht="15" hidden="false" customHeight="true" outlineLevel="0" collapsed="false">
      <c r="C361" s="173" t="s">
        <v>499</v>
      </c>
    </row>
    <row r="362" customFormat="false" ht="13.5" hidden="false" customHeight="true" outlineLevel="0" collapsed="false">
      <c r="D362" s="247" t="s">
        <v>500</v>
      </c>
    </row>
    <row r="363" customFormat="false" ht="15" hidden="false" customHeight="true" outlineLevel="0" collapsed="false">
      <c r="D363" s="247" t="s">
        <v>501</v>
      </c>
    </row>
    <row r="364" customFormat="false" ht="15" hidden="false" customHeight="true" outlineLevel="0" collapsed="false">
      <c r="D364" s="247" t="s">
        <v>502</v>
      </c>
    </row>
    <row r="365" customFormat="false" ht="15" hidden="false" customHeight="true" outlineLevel="0" collapsed="false">
      <c r="C365" s="173" t="s">
        <v>503</v>
      </c>
    </row>
    <row r="366" customFormat="false" ht="13.5" hidden="false" customHeight="true" outlineLevel="0" collapsed="false">
      <c r="C366" s="247" t="s">
        <v>504</v>
      </c>
    </row>
    <row r="367" customFormat="false" ht="15" hidden="false" customHeight="true" outlineLevel="0" collapsed="false">
      <c r="C367" s="247" t="s">
        <v>505</v>
      </c>
    </row>
    <row r="369" customFormat="false" ht="15" hidden="false" customHeight="true" outlineLevel="0" collapsed="false">
      <c r="B369" s="173" t="s">
        <v>506</v>
      </c>
    </row>
    <row r="370" customFormat="false" ht="13.5" hidden="false" customHeight="true" outlineLevel="0" collapsed="false">
      <c r="C370" s="247" t="s">
        <v>507</v>
      </c>
    </row>
    <row r="371" customFormat="false" ht="15" hidden="false" customHeight="true" outlineLevel="0" collapsed="false">
      <c r="C371" s="247" t="s">
        <v>508</v>
      </c>
    </row>
    <row r="372" customFormat="false" ht="15" hidden="false" customHeight="true" outlineLevel="0" collapsed="false">
      <c r="C372" s="173" t="s">
        <v>509</v>
      </c>
    </row>
    <row r="373" customFormat="false" ht="15" hidden="false" customHeight="true" outlineLevel="0" collapsed="false">
      <c r="D373" s="247" t="s">
        <v>510</v>
      </c>
    </row>
    <row r="374" customFormat="false" ht="15" hidden="false" customHeight="true" outlineLevel="0" collapsed="false">
      <c r="C374" s="173" t="s">
        <v>511</v>
      </c>
    </row>
    <row r="375" customFormat="false" ht="15" hidden="false" customHeight="true" outlineLevel="0" collapsed="false">
      <c r="D375" s="247" t="s">
        <v>512</v>
      </c>
    </row>
    <row r="376" customFormat="false" ht="15" hidden="false" customHeight="true" outlineLevel="0" collapsed="false">
      <c r="C376" s="173" t="s">
        <v>513</v>
      </c>
    </row>
    <row r="377" customFormat="false" ht="15" hidden="false" customHeight="true" outlineLevel="0" collapsed="false">
      <c r="D377" s="247" t="s">
        <v>514</v>
      </c>
    </row>
    <row r="378" customFormat="false" ht="15" hidden="false" customHeight="true" outlineLevel="0" collapsed="false">
      <c r="C378" s="173" t="s">
        <v>515</v>
      </c>
    </row>
    <row r="379" customFormat="false" ht="15" hidden="false" customHeight="true" outlineLevel="0" collapsed="false">
      <c r="D379" s="247" t="s">
        <v>516</v>
      </c>
    </row>
    <row r="381" customFormat="false" ht="15" hidden="false" customHeight="true" outlineLevel="0" collapsed="false">
      <c r="B381" s="173" t="s">
        <v>517</v>
      </c>
    </row>
    <row r="382" customFormat="false" ht="15" hidden="false" customHeight="true" outlineLevel="0" collapsed="false">
      <c r="C382" s="247" t="s">
        <v>518</v>
      </c>
    </row>
    <row r="383" customFormat="false" ht="15" hidden="false" customHeight="true" outlineLevel="0" collapsed="false">
      <c r="C383" s="173" t="s">
        <v>519</v>
      </c>
    </row>
    <row r="384" customFormat="false" ht="15" hidden="false" customHeight="true" outlineLevel="0" collapsed="false">
      <c r="D384" s="247" t="s">
        <v>520</v>
      </c>
    </row>
    <row r="385" customFormat="false" ht="15" hidden="false" customHeight="true" outlineLevel="0" collapsed="false">
      <c r="C385" s="173" t="s">
        <v>521</v>
      </c>
    </row>
    <row r="386" customFormat="false" ht="15" hidden="false" customHeight="true" outlineLevel="0" collapsed="false">
      <c r="D386" s="247" t="s">
        <v>522</v>
      </c>
    </row>
    <row r="387" customFormat="false" ht="15" hidden="false" customHeight="true" outlineLevel="0" collapsed="false">
      <c r="C387" s="173" t="s">
        <v>523</v>
      </c>
    </row>
    <row r="388" customFormat="false" ht="15" hidden="false" customHeight="true" outlineLevel="0" collapsed="false">
      <c r="D388" s="247" t="s">
        <v>524</v>
      </c>
    </row>
    <row r="389" customFormat="false" ht="15" hidden="false" customHeight="true" outlineLevel="0" collapsed="false">
      <c r="C389" s="173" t="s">
        <v>525</v>
      </c>
    </row>
    <row r="390" customFormat="false" ht="15" hidden="false" customHeight="true" outlineLevel="0" collapsed="false">
      <c r="D390" s="247" t="s">
        <v>526</v>
      </c>
    </row>
    <row r="391" customFormat="false" ht="15" hidden="false" customHeight="true" outlineLevel="0" collapsed="false">
      <c r="C391" s="173" t="s">
        <v>527</v>
      </c>
    </row>
    <row r="392" customFormat="false" ht="15" hidden="false" customHeight="true" outlineLevel="0" collapsed="false">
      <c r="D392" s="247" t="s">
        <v>528</v>
      </c>
    </row>
    <row r="393" customFormat="false" ht="15" hidden="false" customHeight="true" outlineLevel="0" collapsed="false">
      <c r="C393" s="173" t="s">
        <v>529</v>
      </c>
    </row>
    <row r="394" customFormat="false" ht="15" hidden="false" customHeight="true" outlineLevel="0" collapsed="false">
      <c r="D394" s="247" t="s">
        <v>530</v>
      </c>
    </row>
    <row r="396" customFormat="false" ht="15" hidden="false" customHeight="true" outlineLevel="0" collapsed="false">
      <c r="B396" s="173" t="s">
        <v>531</v>
      </c>
    </row>
    <row r="397" customFormat="false" ht="15" hidden="false" customHeight="true" outlineLevel="0" collapsed="false">
      <c r="C397" s="247" t="s">
        <v>532</v>
      </c>
    </row>
    <row r="398" customFormat="false" ht="15" hidden="false" customHeight="true" outlineLevel="0" collapsed="false">
      <c r="C398" s="173" t="s">
        <v>533</v>
      </c>
    </row>
    <row r="399" customFormat="false" ht="15" hidden="false" customHeight="true" outlineLevel="0" collapsed="false">
      <c r="D399" s="247" t="s">
        <v>534</v>
      </c>
    </row>
    <row r="400" customFormat="false" ht="15" hidden="false" customHeight="true" outlineLevel="0" collapsed="false">
      <c r="C400" s="173" t="s">
        <v>535</v>
      </c>
    </row>
    <row r="401" customFormat="false" ht="15" hidden="false" customHeight="true" outlineLevel="0" collapsed="false">
      <c r="D401" s="247" t="s">
        <v>536</v>
      </c>
    </row>
    <row r="402" customFormat="false" ht="15" hidden="false" customHeight="true" outlineLevel="0" collapsed="false">
      <c r="D402" s="247" t="s">
        <v>537</v>
      </c>
    </row>
    <row r="403" customFormat="false" ht="15" hidden="false" customHeight="true" outlineLevel="0" collapsed="false">
      <c r="C403" s="173" t="s">
        <v>538</v>
      </c>
    </row>
    <row r="404" customFormat="false" ht="15" hidden="false" customHeight="true" outlineLevel="0" collapsed="false">
      <c r="D404" s="247" t="s">
        <v>539</v>
      </c>
    </row>
  </sheetData>
  <mergeCells count="55">
    <mergeCell ref="C6:J6"/>
    <mergeCell ref="L6:Q6"/>
    <mergeCell ref="S6:T9"/>
    <mergeCell ref="V6:X9"/>
    <mergeCell ref="C7:J7"/>
    <mergeCell ref="L7:Q7"/>
    <mergeCell ref="C8:J8"/>
    <mergeCell ref="L8:Q8"/>
    <mergeCell ref="C9:J9"/>
    <mergeCell ref="L9:Q9"/>
    <mergeCell ref="F14:L14"/>
    <mergeCell ref="P14:V14"/>
    <mergeCell ref="F15:L15"/>
    <mergeCell ref="P15:V15"/>
    <mergeCell ref="F16:L16"/>
    <mergeCell ref="P16:V16"/>
    <mergeCell ref="J19:R19"/>
    <mergeCell ref="J20:R20"/>
    <mergeCell ref="J21:R21"/>
    <mergeCell ref="J24:R24"/>
    <mergeCell ref="J25:R25"/>
    <mergeCell ref="J26:R26"/>
    <mergeCell ref="F30:L30"/>
    <mergeCell ref="P30:V30"/>
    <mergeCell ref="F31:L31"/>
    <mergeCell ref="P31:V31"/>
    <mergeCell ref="F32:L32"/>
    <mergeCell ref="P32:V32"/>
    <mergeCell ref="D40:J40"/>
    <mergeCell ref="K40:X40"/>
    <mergeCell ref="K42:X42"/>
    <mergeCell ref="E65:G65"/>
    <mergeCell ref="H65:K65"/>
    <mergeCell ref="L65:V65"/>
    <mergeCell ref="W65:Y65"/>
    <mergeCell ref="E66:G66"/>
    <mergeCell ref="H66:K66"/>
    <mergeCell ref="L66:V66"/>
    <mergeCell ref="W66:Y66"/>
    <mergeCell ref="E67:G67"/>
    <mergeCell ref="H67:K67"/>
    <mergeCell ref="L67:V67"/>
    <mergeCell ref="W67:Y67"/>
    <mergeCell ref="E68:G68"/>
    <mergeCell ref="H68:K68"/>
    <mergeCell ref="L68:V68"/>
    <mergeCell ref="W68:Y68"/>
    <mergeCell ref="E69:G69"/>
    <mergeCell ref="H69:K69"/>
    <mergeCell ref="L69:V69"/>
    <mergeCell ref="W69:Y69"/>
    <mergeCell ref="E70:G70"/>
    <mergeCell ref="H70:K70"/>
    <mergeCell ref="L70:V70"/>
    <mergeCell ref="W70:Y70"/>
  </mergeCells>
  <printOptions headings="false" gridLines="false" gridLinesSet="true" horizontalCentered="true" verticalCentered="true"/>
  <pageMargins left="0.511805555555556" right="0.511805555555556" top="0.747916666666667" bottom="0.551388888888889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&amp;R안전관리계획서&amp;P/&amp;N</oddFooter>
  </headerFooter>
  <rowBreaks count="8" manualBreakCount="8">
    <brk id="37" man="true" max="16383" min="0"/>
    <brk id="77" man="true" max="16383" min="0"/>
    <brk id="122" man="true" max="16383" min="0"/>
    <brk id="166" man="true" max="16383" min="0"/>
    <brk id="215" man="true" max="16383" min="0"/>
    <brk id="259" man="true" max="16383" min="0"/>
    <brk id="302" man="true" max="16383" min="0"/>
    <brk id="354" man="true" max="16383" min="0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W67"/>
  <sheetViews>
    <sheetView showFormulas="false" showGridLines="false" showRowColHeaders="true" showZeros="true" rightToLeft="false" tabSelected="false" showOutlineSymbols="true" defaultGridColor="true" view="pageBreakPreview" topLeftCell="A11" colorId="64" zoomScale="100" zoomScaleNormal="100" zoomScalePageLayoutView="100" workbookViewId="0">
      <selection pane="topLeft" activeCell="AG15" activeCellId="0" sqref="AG15"/>
    </sheetView>
  </sheetViews>
  <sheetFormatPr defaultColWidth="9" defaultRowHeight="13.5" zeroHeight="false" outlineLevelRow="0" outlineLevelCol="0"/>
  <cols>
    <col collapsed="false" customWidth="true" hidden="false" outlineLevel="0" max="1" min="1" style="173" width="2.13"/>
    <col collapsed="false" customWidth="true" hidden="false" outlineLevel="0" max="2" min="2" style="173" width="3.63"/>
    <col collapsed="false" customWidth="true" hidden="false" outlineLevel="0" max="6" min="3" style="173" width="3.5"/>
    <col collapsed="false" customWidth="true" hidden="false" outlineLevel="0" max="14" min="7" style="173" width="3.13"/>
    <col collapsed="false" customWidth="true" hidden="false" outlineLevel="0" max="15" min="15" style="173" width="3.75"/>
    <col collapsed="false" customWidth="true" hidden="false" outlineLevel="0" max="18" min="16" style="173" width="3.13"/>
    <col collapsed="false" customWidth="true" hidden="false" outlineLevel="0" max="19" min="19" style="173" width="3.88"/>
    <col collapsed="false" customWidth="true" hidden="false" outlineLevel="0" max="26" min="20" style="173" width="3.13"/>
    <col collapsed="false" customWidth="true" hidden="false" outlineLevel="0" max="27" min="27" style="173" width="3.63"/>
    <col collapsed="false" customWidth="true" hidden="false" outlineLevel="0" max="28" min="28" style="173" width="2.13"/>
    <col collapsed="false" customWidth="true" hidden="false" outlineLevel="0" max="29" min="29" style="173" width="13.25"/>
    <col collapsed="false" customWidth="false" hidden="false" outlineLevel="0" max="32" min="30" style="173" width="9"/>
    <col collapsed="false" customWidth="true" hidden="false" outlineLevel="0" max="33" min="33" style="173" width="9.63"/>
    <col collapsed="false" customWidth="false" hidden="false" outlineLevel="0" max="46" min="34" style="173" width="9"/>
    <col collapsed="false" customWidth="true" hidden="false" outlineLevel="0" max="47" min="47" style="173" width="9.25"/>
    <col collapsed="false" customWidth="false" hidden="false" outlineLevel="0" max="48" min="48" style="173" width="9"/>
    <col collapsed="false" customWidth="true" hidden="false" outlineLevel="0" max="49" min="49" style="173" width="9.25"/>
    <col collapsed="false" customWidth="false" hidden="false" outlineLevel="0" max="16384" min="50" style="173" width="9"/>
  </cols>
  <sheetData>
    <row r="1" customFormat="false" ht="15" hidden="false" customHeight="true" outlineLevel="0" collapsed="false"/>
    <row r="2" customFormat="false" ht="15" hidden="false" customHeight="true" outlineLevel="0" collapsed="false"/>
    <row r="3" customFormat="false" ht="15" hidden="false" customHeight="true" outlineLevel="0" collapsed="false">
      <c r="B3" s="249"/>
      <c r="C3" s="250"/>
      <c r="D3" s="250"/>
      <c r="E3" s="250"/>
      <c r="F3" s="250"/>
      <c r="G3" s="250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2"/>
    </row>
    <row r="4" customFormat="false" ht="21.75" hidden="false" customHeight="true" outlineLevel="0" collapsed="false">
      <c r="B4" s="253"/>
      <c r="C4" s="254" t="s">
        <v>540</v>
      </c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5"/>
    </row>
    <row r="5" customFormat="false" ht="21.75" hidden="false" customHeight="true" outlineLevel="0" collapsed="false">
      <c r="B5" s="256"/>
      <c r="C5" s="257"/>
      <c r="D5" s="257"/>
      <c r="E5" s="257"/>
      <c r="F5" s="257"/>
      <c r="G5" s="257"/>
      <c r="AA5" s="258"/>
    </row>
    <row r="6" s="42" customFormat="true" ht="30" hidden="false" customHeight="true" outlineLevel="0" collapsed="false">
      <c r="B6" s="259"/>
      <c r="C6" s="260" t="s">
        <v>541</v>
      </c>
      <c r="D6" s="260"/>
      <c r="E6" s="260"/>
      <c r="F6" s="260"/>
      <c r="G6" s="261" t="str">
        <f aca="false">공사정보_출력X!C2</f>
        <v>(예시) OO부대 시설물 보수공사</v>
      </c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2"/>
    </row>
    <row r="7" s="42" customFormat="true" ht="30" hidden="false" customHeight="true" outlineLevel="0" collapsed="false">
      <c r="B7" s="259"/>
      <c r="C7" s="263" t="s">
        <v>119</v>
      </c>
      <c r="D7" s="263"/>
      <c r="E7" s="263"/>
      <c r="F7" s="263"/>
      <c r="G7" s="264" t="str">
        <f aca="false">공사정보_출력X!C6</f>
        <v>주식회사 가상건설</v>
      </c>
      <c r="H7" s="264"/>
      <c r="I7" s="264"/>
      <c r="J7" s="264"/>
      <c r="K7" s="264"/>
      <c r="L7" s="264"/>
      <c r="M7" s="264"/>
      <c r="N7" s="264"/>
      <c r="O7" s="264"/>
      <c r="P7" s="265" t="s">
        <v>542</v>
      </c>
      <c r="Q7" s="265"/>
      <c r="R7" s="265"/>
      <c r="S7" s="265"/>
      <c r="T7" s="266" t="str">
        <f aca="false">공사정보_출력X!C7</f>
        <v>홍길동</v>
      </c>
      <c r="U7" s="266"/>
      <c r="V7" s="266"/>
      <c r="W7" s="266"/>
      <c r="X7" s="266"/>
      <c r="Y7" s="266"/>
      <c r="Z7" s="266"/>
      <c r="AA7" s="262"/>
    </row>
    <row r="8" s="42" customFormat="true" ht="30" hidden="false" customHeight="true" outlineLevel="0" collapsed="false">
      <c r="B8" s="259"/>
      <c r="C8" s="263" t="s">
        <v>543</v>
      </c>
      <c r="D8" s="263"/>
      <c r="E8" s="263"/>
      <c r="F8" s="263"/>
      <c r="G8" s="267" t="str">
        <f aca="false">공사정보_출력X!E6</f>
        <v>OO도 OO시 OO구 OO로 00 (OO동) OOO호</v>
      </c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2"/>
    </row>
    <row r="9" s="42" customFormat="true" ht="30" hidden="false" customHeight="true" outlineLevel="0" collapsed="false">
      <c r="B9" s="259"/>
      <c r="C9" s="263" t="s">
        <v>131</v>
      </c>
      <c r="D9" s="263"/>
      <c r="E9" s="263"/>
      <c r="F9" s="263"/>
      <c r="G9" s="268"/>
      <c r="H9" s="269" t="n">
        <f aca="false">공사정보_출력X!C11</f>
        <v>46029</v>
      </c>
      <c r="I9" s="269"/>
      <c r="J9" s="269"/>
      <c r="K9" s="269"/>
      <c r="L9" s="269"/>
      <c r="M9" s="269"/>
      <c r="N9" s="270" t="s">
        <v>132</v>
      </c>
      <c r="O9" s="271" t="n">
        <f aca="false">공사정보_출력X!C12</f>
        <v>46073</v>
      </c>
      <c r="P9" s="271"/>
      <c r="Q9" s="271"/>
      <c r="R9" s="271"/>
      <c r="S9" s="271"/>
      <c r="T9" s="270"/>
      <c r="U9" s="270"/>
      <c r="V9" s="270"/>
      <c r="W9" s="270"/>
      <c r="X9" s="270"/>
      <c r="Y9" s="270"/>
      <c r="Z9" s="272"/>
      <c r="AA9" s="262"/>
    </row>
    <row r="10" s="42" customFormat="true" ht="30" hidden="false" customHeight="true" outlineLevel="0" collapsed="false">
      <c r="B10" s="259"/>
      <c r="C10" s="263" t="s">
        <v>544</v>
      </c>
      <c r="D10" s="263"/>
      <c r="E10" s="263"/>
      <c r="F10" s="263"/>
      <c r="G10" s="273" t="str">
        <f aca="false">공사정보_출력X!C8</f>
        <v>OO부대</v>
      </c>
      <c r="H10" s="273"/>
      <c r="I10" s="273"/>
      <c r="J10" s="273"/>
      <c r="K10" s="273"/>
      <c r="L10" s="273"/>
      <c r="M10" s="273"/>
      <c r="N10" s="273"/>
      <c r="O10" s="273"/>
      <c r="P10" s="265" t="s">
        <v>64</v>
      </c>
      <c r="Q10" s="265"/>
      <c r="R10" s="265"/>
      <c r="S10" s="265"/>
      <c r="T10" s="274" t="n">
        <f aca="false">공사정보_출력X!C9</f>
        <v>150000000</v>
      </c>
      <c r="U10" s="274"/>
      <c r="V10" s="274"/>
      <c r="W10" s="274"/>
      <c r="X10" s="274"/>
      <c r="Y10" s="274"/>
      <c r="Z10" s="274"/>
      <c r="AA10" s="262"/>
    </row>
    <row r="11" s="42" customFormat="true" ht="30" hidden="false" customHeight="true" outlineLevel="0" collapsed="false">
      <c r="B11" s="259"/>
      <c r="C11" s="275" t="s">
        <v>545</v>
      </c>
      <c r="D11" s="275"/>
      <c r="E11" s="275"/>
      <c r="F11" s="275"/>
      <c r="G11" s="276" t="n">
        <v>3000000</v>
      </c>
      <c r="H11" s="276"/>
      <c r="I11" s="276"/>
      <c r="J11" s="276"/>
      <c r="K11" s="276"/>
      <c r="L11" s="276"/>
      <c r="M11" s="276"/>
      <c r="N11" s="276"/>
      <c r="O11" s="276"/>
      <c r="P11" s="277" t="s">
        <v>546</v>
      </c>
      <c r="Q11" s="277"/>
      <c r="R11" s="277"/>
      <c r="S11" s="277"/>
      <c r="T11" s="278"/>
      <c r="U11" s="278"/>
      <c r="V11" s="278"/>
      <c r="W11" s="278"/>
      <c r="X11" s="278"/>
      <c r="Y11" s="278"/>
      <c r="Z11" s="278"/>
      <c r="AA11" s="262"/>
    </row>
    <row r="12" s="42" customFormat="true" ht="30" hidden="false" customHeight="true" outlineLevel="0" collapsed="false">
      <c r="B12" s="259"/>
      <c r="C12" s="279" t="s">
        <v>547</v>
      </c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80"/>
    </row>
    <row r="13" s="42" customFormat="true" ht="24.75" hidden="false" customHeight="true" outlineLevel="0" collapsed="false">
      <c r="B13" s="259"/>
      <c r="C13" s="281" t="s">
        <v>548</v>
      </c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2" t="s">
        <v>549</v>
      </c>
      <c r="Q13" s="282"/>
      <c r="R13" s="282"/>
      <c r="S13" s="282"/>
      <c r="T13" s="282"/>
      <c r="U13" s="282"/>
      <c r="V13" s="282"/>
      <c r="W13" s="283" t="s">
        <v>550</v>
      </c>
      <c r="X13" s="283"/>
      <c r="Y13" s="283"/>
      <c r="Z13" s="283"/>
      <c r="AA13" s="284"/>
    </row>
    <row r="14" s="42" customFormat="true" ht="24.75" hidden="false" customHeight="true" outlineLevel="0" collapsed="false">
      <c r="B14" s="259"/>
      <c r="C14" s="285" t="s">
        <v>551</v>
      </c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 t="n">
        <f aca="false">P41</f>
        <v>320000</v>
      </c>
      <c r="Q14" s="286"/>
      <c r="R14" s="286"/>
      <c r="S14" s="286"/>
      <c r="T14" s="286"/>
      <c r="U14" s="286"/>
      <c r="V14" s="286"/>
      <c r="W14" s="287"/>
      <c r="X14" s="287"/>
      <c r="Y14" s="287"/>
      <c r="Z14" s="287"/>
      <c r="AA14" s="284"/>
    </row>
    <row r="15" s="42" customFormat="true" ht="24.75" hidden="false" customHeight="true" outlineLevel="0" collapsed="false">
      <c r="B15" s="259"/>
      <c r="C15" s="288" t="s">
        <v>552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9" t="n">
        <f aca="false">P46</f>
        <v>430000</v>
      </c>
      <c r="Q15" s="289"/>
      <c r="R15" s="289"/>
      <c r="S15" s="289"/>
      <c r="T15" s="289"/>
      <c r="U15" s="289"/>
      <c r="V15" s="289"/>
      <c r="W15" s="290"/>
      <c r="X15" s="290"/>
      <c r="Y15" s="290"/>
      <c r="Z15" s="290"/>
      <c r="AA15" s="284"/>
    </row>
    <row r="16" s="42" customFormat="true" ht="24.75" hidden="false" customHeight="true" outlineLevel="0" collapsed="false">
      <c r="B16" s="259"/>
      <c r="C16" s="288" t="s">
        <v>553</v>
      </c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9" t="n">
        <f aca="false">P54</f>
        <v>2236000</v>
      </c>
      <c r="Q16" s="289"/>
      <c r="R16" s="289"/>
      <c r="S16" s="289"/>
      <c r="T16" s="289"/>
      <c r="U16" s="289"/>
      <c r="V16" s="289"/>
      <c r="W16" s="290"/>
      <c r="X16" s="290"/>
      <c r="Y16" s="290"/>
      <c r="Z16" s="290"/>
      <c r="AA16" s="284"/>
    </row>
    <row r="17" s="42" customFormat="true" ht="24.75" hidden="false" customHeight="true" outlineLevel="0" collapsed="false">
      <c r="B17" s="259"/>
      <c r="C17" s="288" t="s">
        <v>554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9" t="n">
        <f aca="false">P57</f>
        <v>0</v>
      </c>
      <c r="Q17" s="289"/>
      <c r="R17" s="289"/>
      <c r="S17" s="289"/>
      <c r="T17" s="289"/>
      <c r="U17" s="289"/>
      <c r="V17" s="289"/>
      <c r="W17" s="290"/>
      <c r="X17" s="290"/>
      <c r="Y17" s="290"/>
      <c r="Z17" s="290"/>
      <c r="AA17" s="284"/>
    </row>
    <row r="18" s="42" customFormat="true" ht="24.75" hidden="false" customHeight="true" outlineLevel="0" collapsed="false">
      <c r="B18" s="259"/>
      <c r="C18" s="288" t="s">
        <v>555</v>
      </c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9" t="n">
        <f aca="false">P60</f>
        <v>100000</v>
      </c>
      <c r="Q18" s="289"/>
      <c r="R18" s="289"/>
      <c r="S18" s="289"/>
      <c r="T18" s="289"/>
      <c r="U18" s="289"/>
      <c r="V18" s="289"/>
      <c r="W18" s="290"/>
      <c r="X18" s="290"/>
      <c r="Y18" s="290"/>
      <c r="Z18" s="290"/>
      <c r="AA18" s="284"/>
    </row>
    <row r="19" s="42" customFormat="true" ht="24.75" hidden="false" customHeight="true" outlineLevel="0" collapsed="false">
      <c r="B19" s="259"/>
      <c r="C19" s="291" t="s">
        <v>556</v>
      </c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2" t="n">
        <f aca="false">P64</f>
        <v>160000</v>
      </c>
      <c r="Q19" s="292"/>
      <c r="R19" s="292"/>
      <c r="S19" s="292"/>
      <c r="T19" s="292"/>
      <c r="U19" s="292"/>
      <c r="V19" s="292"/>
      <c r="W19" s="293"/>
      <c r="X19" s="293"/>
      <c r="Y19" s="293"/>
      <c r="Z19" s="293"/>
      <c r="AA19" s="284"/>
    </row>
    <row r="20" s="42" customFormat="true" ht="30" hidden="false" customHeight="true" outlineLevel="0" collapsed="false">
      <c r="B20" s="259"/>
      <c r="C20" s="294" t="s">
        <v>557</v>
      </c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5" t="n">
        <f aca="false">SUM(P14:X19)</f>
        <v>3246000</v>
      </c>
      <c r="Q20" s="295"/>
      <c r="R20" s="295"/>
      <c r="S20" s="295"/>
      <c r="T20" s="295"/>
      <c r="U20" s="295"/>
      <c r="V20" s="295"/>
      <c r="W20" s="296"/>
      <c r="X20" s="296"/>
      <c r="Y20" s="296"/>
      <c r="Z20" s="296"/>
      <c r="AA20" s="284"/>
    </row>
    <row r="21" s="42" customFormat="true" ht="26.25" hidden="false" customHeight="true" outlineLevel="0" collapsed="false">
      <c r="B21" s="259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297"/>
      <c r="Q21" s="297"/>
      <c r="R21" s="297"/>
      <c r="S21" s="297"/>
      <c r="T21" s="297"/>
      <c r="U21" s="297"/>
      <c r="V21" s="297"/>
      <c r="W21" s="35"/>
      <c r="X21" s="35"/>
      <c r="Y21" s="35"/>
      <c r="Z21" s="35"/>
      <c r="AA21" s="284"/>
    </row>
    <row r="22" s="42" customFormat="true" ht="26.25" hidden="false" customHeight="true" outlineLevel="0" collapsed="false">
      <c r="B22" s="259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297"/>
      <c r="Q22" s="297"/>
      <c r="R22" s="297"/>
      <c r="S22" s="297"/>
      <c r="T22" s="297"/>
      <c r="U22" s="297"/>
      <c r="V22" s="297"/>
      <c r="W22" s="35"/>
      <c r="X22" s="35"/>
      <c r="Y22" s="35"/>
      <c r="Z22" s="35"/>
      <c r="AA22" s="284"/>
    </row>
    <row r="23" s="42" customFormat="true" ht="21.75" hidden="false" customHeight="true" outlineLevel="0" collapsed="false">
      <c r="B23" s="259"/>
      <c r="C23" s="34"/>
      <c r="D23" s="34"/>
      <c r="X23" s="34"/>
      <c r="Y23" s="34"/>
      <c r="Z23" s="34"/>
      <c r="AA23" s="284"/>
    </row>
    <row r="24" s="42" customFormat="true" ht="33" hidden="false" customHeight="true" outlineLevel="0" collapsed="false">
      <c r="B24" s="259"/>
      <c r="C24" s="298" t="s">
        <v>558</v>
      </c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9"/>
    </row>
    <row r="25" s="42" customFormat="true" ht="21.75" hidden="false" customHeight="true" outlineLevel="0" collapsed="false">
      <c r="B25" s="300" t="n">
        <f aca="false">공사정보_출력X!C5</f>
        <v>46035</v>
      </c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</row>
    <row r="26" s="42" customFormat="true" ht="21.75" hidden="false" customHeight="true" outlineLevel="0" collapsed="false">
      <c r="B26" s="259"/>
      <c r="C26" s="35"/>
      <c r="D26" s="35"/>
      <c r="E26" s="35"/>
      <c r="F26" s="35"/>
      <c r="G26" s="35"/>
      <c r="H26" s="54"/>
      <c r="I26" s="80"/>
      <c r="J26" s="80"/>
      <c r="K26" s="80"/>
      <c r="L26" s="54"/>
      <c r="M26" s="54"/>
      <c r="S26" s="54"/>
      <c r="T26" s="54"/>
      <c r="U26" s="54"/>
      <c r="V26" s="54"/>
      <c r="W26" s="54"/>
      <c r="X26" s="54"/>
      <c r="Y26" s="54"/>
      <c r="Z26" s="54"/>
      <c r="AA26" s="262"/>
    </row>
    <row r="27" s="42" customFormat="true" ht="21.75" hidden="false" customHeight="true" outlineLevel="0" collapsed="false">
      <c r="B27" s="259"/>
      <c r="C27" s="35"/>
      <c r="D27" s="35"/>
      <c r="E27" s="35"/>
      <c r="F27" s="35"/>
      <c r="G27" s="35"/>
      <c r="I27" s="80"/>
      <c r="J27" s="80"/>
      <c r="K27" s="80"/>
      <c r="L27" s="54"/>
      <c r="M27" s="54"/>
      <c r="AA27" s="284"/>
    </row>
    <row r="28" s="42" customFormat="true" ht="21.75" hidden="false" customHeight="true" outlineLevel="0" collapsed="false">
      <c r="B28" s="259"/>
      <c r="C28" s="34"/>
      <c r="D28" s="34"/>
      <c r="E28" s="34"/>
      <c r="F28" s="35"/>
      <c r="G28" s="301"/>
      <c r="I28" s="302" t="s">
        <v>23</v>
      </c>
      <c r="J28" s="302"/>
      <c r="K28" s="302"/>
      <c r="L28" s="54" t="s">
        <v>63</v>
      </c>
      <c r="M28" s="54"/>
      <c r="N28" s="303" t="str">
        <f aca="false">공사정보_출력X!E6</f>
        <v>OO도 OO시 OO구 OO로 00 (OO동) OOO호</v>
      </c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4"/>
    </row>
    <row r="29" s="42" customFormat="true" ht="21.75" hidden="false" customHeight="true" outlineLevel="0" collapsed="false">
      <c r="B29" s="259"/>
      <c r="C29" s="34"/>
      <c r="D29" s="34"/>
      <c r="E29" s="34"/>
      <c r="F29" s="34"/>
      <c r="G29" s="34"/>
      <c r="I29" s="302" t="s">
        <v>559</v>
      </c>
      <c r="J29" s="302"/>
      <c r="K29" s="302"/>
      <c r="L29" s="54" t="s">
        <v>63</v>
      </c>
      <c r="M29" s="54"/>
      <c r="N29" s="80" t="str">
        <f aca="false">공사정보_출력X!C6</f>
        <v>주식회사 가상건설</v>
      </c>
      <c r="O29" s="80"/>
      <c r="P29" s="80"/>
      <c r="Q29" s="80"/>
      <c r="R29" s="80"/>
      <c r="S29" s="80"/>
      <c r="AA29" s="284"/>
    </row>
    <row r="30" s="42" customFormat="true" ht="21.75" hidden="false" customHeight="true" outlineLevel="0" collapsed="false">
      <c r="B30" s="259"/>
      <c r="C30" s="34"/>
      <c r="D30" s="34"/>
      <c r="E30" s="34"/>
      <c r="F30" s="34"/>
      <c r="G30" s="34"/>
      <c r="I30" s="302" t="s">
        <v>85</v>
      </c>
      <c r="J30" s="302"/>
      <c r="K30" s="302"/>
      <c r="L30" s="54" t="s">
        <v>63</v>
      </c>
      <c r="M30" s="54"/>
      <c r="N30" s="80" t="str">
        <f aca="false">공사정보_출력X!C7</f>
        <v>홍길동</v>
      </c>
      <c r="O30" s="80"/>
      <c r="P30" s="80"/>
      <c r="Q30" s="80"/>
      <c r="R30" s="81" t="s">
        <v>76</v>
      </c>
      <c r="AA30" s="284"/>
    </row>
    <row r="31" s="42" customFormat="true" ht="21.75" hidden="false" customHeight="true" outlineLevel="0" collapsed="false">
      <c r="B31" s="305"/>
      <c r="C31" s="306"/>
      <c r="D31" s="306"/>
      <c r="E31" s="306"/>
      <c r="F31" s="306"/>
      <c r="G31" s="306"/>
      <c r="H31" s="307"/>
      <c r="I31" s="308"/>
      <c r="J31" s="308"/>
      <c r="K31" s="308"/>
      <c r="L31" s="309"/>
      <c r="M31" s="309"/>
      <c r="N31" s="308"/>
      <c r="O31" s="308"/>
      <c r="P31" s="308"/>
      <c r="Q31" s="308"/>
      <c r="R31" s="310"/>
      <c r="S31" s="307"/>
      <c r="T31" s="307"/>
      <c r="U31" s="307"/>
      <c r="V31" s="307"/>
      <c r="W31" s="307"/>
      <c r="X31" s="307"/>
      <c r="Y31" s="307"/>
      <c r="Z31" s="307"/>
      <c r="AA31" s="311"/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>
      <c r="B36" s="12" t="s">
        <v>560</v>
      </c>
      <c r="C36" s="312"/>
      <c r="D36" s="312"/>
      <c r="E36" s="313"/>
      <c r="F36" s="313"/>
      <c r="G36" s="313"/>
      <c r="H36" s="312"/>
    </row>
    <row r="37" customFormat="false" ht="15" hidden="false" customHeight="true" outlineLevel="0" collapsed="false">
      <c r="B37" s="312"/>
      <c r="C37" s="312"/>
      <c r="D37" s="312"/>
      <c r="E37" s="313"/>
      <c r="F37" s="313"/>
      <c r="G37" s="313"/>
      <c r="H37" s="312"/>
    </row>
    <row r="38" s="42" customFormat="true" ht="19.5" hidden="false" customHeight="true" outlineLevel="0" collapsed="false">
      <c r="B38" s="314" t="s">
        <v>561</v>
      </c>
      <c r="C38" s="314"/>
      <c r="D38" s="314"/>
      <c r="E38" s="314"/>
      <c r="F38" s="314"/>
      <c r="G38" s="314"/>
      <c r="H38" s="314"/>
      <c r="I38" s="314"/>
      <c r="J38" s="314"/>
      <c r="K38" s="315" t="s">
        <v>562</v>
      </c>
      <c r="L38" s="315"/>
      <c r="M38" s="315"/>
      <c r="N38" s="315"/>
      <c r="O38" s="315"/>
      <c r="P38" s="316" t="s">
        <v>563</v>
      </c>
      <c r="Q38" s="316"/>
      <c r="R38" s="316"/>
      <c r="S38" s="316"/>
      <c r="T38" s="316" t="s">
        <v>564</v>
      </c>
      <c r="U38" s="316"/>
      <c r="V38" s="316" t="s">
        <v>565</v>
      </c>
      <c r="W38" s="316"/>
      <c r="X38" s="316"/>
      <c r="Y38" s="316"/>
      <c r="Z38" s="316" t="s">
        <v>225</v>
      </c>
      <c r="AA38" s="316"/>
    </row>
    <row r="39" s="42" customFormat="true" ht="35.25" hidden="false" customHeight="true" outlineLevel="0" collapsed="false">
      <c r="B39" s="317" t="s">
        <v>566</v>
      </c>
      <c r="C39" s="317"/>
      <c r="D39" s="317"/>
      <c r="E39" s="317"/>
      <c r="F39" s="317"/>
      <c r="G39" s="317"/>
      <c r="H39" s="317"/>
      <c r="I39" s="317"/>
      <c r="J39" s="317"/>
      <c r="K39" s="318" t="s">
        <v>567</v>
      </c>
      <c r="L39" s="318"/>
      <c r="M39" s="318"/>
      <c r="N39" s="318"/>
      <c r="O39" s="318"/>
      <c r="P39" s="319" t="n">
        <v>160000</v>
      </c>
      <c r="Q39" s="319"/>
      <c r="R39" s="319"/>
      <c r="S39" s="319"/>
      <c r="T39" s="319" t="n">
        <v>2</v>
      </c>
      <c r="U39" s="319"/>
      <c r="V39" s="319" t="n">
        <f aca="false">P39*T39</f>
        <v>320000</v>
      </c>
      <c r="W39" s="319"/>
      <c r="X39" s="319"/>
      <c r="Y39" s="319"/>
      <c r="Z39" s="319"/>
      <c r="AA39" s="319"/>
    </row>
    <row r="40" s="42" customFormat="true" ht="24.75" hidden="false" customHeight="true" outlineLevel="0" collapsed="false">
      <c r="B40" s="320"/>
      <c r="C40" s="320"/>
      <c r="D40" s="320"/>
      <c r="E40" s="320"/>
      <c r="F40" s="320"/>
      <c r="G40" s="320"/>
      <c r="H40" s="320"/>
      <c r="I40" s="320"/>
      <c r="J40" s="320"/>
      <c r="K40" s="321"/>
      <c r="L40" s="321"/>
      <c r="M40" s="321"/>
      <c r="N40" s="321"/>
      <c r="O40" s="321"/>
      <c r="P40" s="322"/>
      <c r="Q40" s="322"/>
      <c r="R40" s="322"/>
      <c r="S40" s="322"/>
      <c r="T40" s="322"/>
      <c r="U40" s="322"/>
      <c r="V40" s="322" t="n">
        <f aca="false">T40*P40</f>
        <v>0</v>
      </c>
      <c r="W40" s="322"/>
      <c r="X40" s="322"/>
      <c r="Y40" s="322"/>
      <c r="Z40" s="322"/>
      <c r="AA40" s="322"/>
    </row>
    <row r="41" s="42" customFormat="true" ht="19.5" hidden="false" customHeight="true" outlineLevel="0" collapsed="false">
      <c r="B41" s="323" t="s">
        <v>568</v>
      </c>
      <c r="C41" s="323"/>
      <c r="D41" s="323"/>
      <c r="E41" s="323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4" t="n">
        <f aca="false">SUM(V39)</f>
        <v>320000</v>
      </c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</row>
    <row r="42" s="42" customFormat="true" ht="19.5" hidden="false" customHeight="true" outlineLevel="0" collapsed="false">
      <c r="B42" s="325" t="s">
        <v>569</v>
      </c>
      <c r="C42" s="325"/>
      <c r="D42" s="325"/>
      <c r="E42" s="325"/>
      <c r="F42" s="325"/>
      <c r="G42" s="325"/>
      <c r="H42" s="325"/>
      <c r="I42" s="325"/>
      <c r="J42" s="325"/>
      <c r="K42" s="318" t="s">
        <v>570</v>
      </c>
      <c r="L42" s="318"/>
      <c r="M42" s="318"/>
      <c r="N42" s="318"/>
      <c r="O42" s="318"/>
      <c r="P42" s="319" t="n">
        <v>55000</v>
      </c>
      <c r="Q42" s="319"/>
      <c r="R42" s="319"/>
      <c r="S42" s="319"/>
      <c r="T42" s="319" t="n">
        <v>6</v>
      </c>
      <c r="U42" s="319"/>
      <c r="V42" s="319" t="n">
        <f aca="false">T42*P42</f>
        <v>330000</v>
      </c>
      <c r="W42" s="319"/>
      <c r="X42" s="319"/>
      <c r="Y42" s="319"/>
      <c r="Z42" s="319"/>
      <c r="AA42" s="319"/>
      <c r="AU42" s="42" t="n">
        <v>10</v>
      </c>
      <c r="AW42" s="42" t="n">
        <v>250000</v>
      </c>
    </row>
    <row r="43" s="42" customFormat="true" ht="19.5" hidden="false" customHeight="true" outlineLevel="0" collapsed="false">
      <c r="B43" s="325"/>
      <c r="C43" s="325"/>
      <c r="D43" s="325"/>
      <c r="E43" s="325"/>
      <c r="F43" s="325"/>
      <c r="G43" s="325"/>
      <c r="H43" s="325"/>
      <c r="I43" s="325"/>
      <c r="J43" s="325"/>
      <c r="K43" s="318" t="s">
        <v>571</v>
      </c>
      <c r="L43" s="318"/>
      <c r="M43" s="318"/>
      <c r="N43" s="318"/>
      <c r="O43" s="318"/>
      <c r="P43" s="319" t="n">
        <v>55000</v>
      </c>
      <c r="Q43" s="319"/>
      <c r="R43" s="319"/>
      <c r="S43" s="319"/>
      <c r="T43" s="319" t="n">
        <v>1</v>
      </c>
      <c r="U43" s="319"/>
      <c r="V43" s="319" t="n">
        <f aca="false">T43*P43</f>
        <v>55000</v>
      </c>
      <c r="W43" s="319"/>
      <c r="X43" s="319"/>
      <c r="Y43" s="319"/>
      <c r="Z43" s="319"/>
      <c r="AA43" s="319"/>
      <c r="AU43" s="42" t="n">
        <v>5</v>
      </c>
      <c r="AW43" s="42" t="n">
        <v>250000</v>
      </c>
    </row>
    <row r="44" s="42" customFormat="true" ht="19.5" hidden="false" customHeight="true" outlineLevel="0" collapsed="false">
      <c r="B44" s="325"/>
      <c r="C44" s="325"/>
      <c r="D44" s="325"/>
      <c r="E44" s="325"/>
      <c r="F44" s="325"/>
      <c r="G44" s="325"/>
      <c r="H44" s="325"/>
      <c r="I44" s="325"/>
      <c r="J44" s="325"/>
      <c r="K44" s="318" t="s">
        <v>572</v>
      </c>
      <c r="L44" s="318"/>
      <c r="M44" s="318"/>
      <c r="N44" s="318"/>
      <c r="O44" s="318"/>
      <c r="P44" s="319" t="n">
        <v>45000</v>
      </c>
      <c r="Q44" s="319"/>
      <c r="R44" s="319"/>
      <c r="S44" s="319"/>
      <c r="T44" s="319" t="n">
        <v>1</v>
      </c>
      <c r="U44" s="319"/>
      <c r="V44" s="319" t="n">
        <f aca="false">T44*P44</f>
        <v>45000</v>
      </c>
      <c r="W44" s="319"/>
      <c r="X44" s="319"/>
      <c r="Y44" s="319"/>
      <c r="Z44" s="319"/>
      <c r="AA44" s="319"/>
      <c r="AU44" s="42" t="n">
        <v>5</v>
      </c>
      <c r="AW44" s="42" t="n">
        <v>250000</v>
      </c>
    </row>
    <row r="45" s="42" customFormat="true" ht="19.5" hidden="false" customHeight="true" outlineLevel="0" collapsed="false">
      <c r="B45" s="320"/>
      <c r="C45" s="320"/>
      <c r="D45" s="320"/>
      <c r="E45" s="320"/>
      <c r="F45" s="320"/>
      <c r="G45" s="320"/>
      <c r="H45" s="320"/>
      <c r="I45" s="320"/>
      <c r="J45" s="320"/>
      <c r="K45" s="321"/>
      <c r="L45" s="321"/>
      <c r="M45" s="321"/>
      <c r="N45" s="321"/>
      <c r="O45" s="321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2"/>
      <c r="AU45" s="42" t="n">
        <v>3</v>
      </c>
      <c r="AW45" s="42" t="n">
        <v>450000</v>
      </c>
    </row>
    <row r="46" s="42" customFormat="true" ht="19.5" hidden="false" customHeight="true" outlineLevel="0" collapsed="false">
      <c r="B46" s="326" t="s">
        <v>568</v>
      </c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19" t="n">
        <f aca="false">SUM(V42:Y45)</f>
        <v>430000</v>
      </c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</row>
    <row r="47" s="42" customFormat="true" ht="19.5" hidden="false" customHeight="true" outlineLevel="0" collapsed="false">
      <c r="B47" s="327" t="s">
        <v>573</v>
      </c>
      <c r="C47" s="327"/>
      <c r="D47" s="327"/>
      <c r="E47" s="327"/>
      <c r="F47" s="327"/>
      <c r="G47" s="327"/>
      <c r="H47" s="327"/>
      <c r="I47" s="327"/>
      <c r="J47" s="327"/>
      <c r="K47" s="328" t="s">
        <v>574</v>
      </c>
      <c r="L47" s="328"/>
      <c r="M47" s="328"/>
      <c r="N47" s="328"/>
      <c r="O47" s="328"/>
      <c r="P47" s="329" t="n">
        <v>10000</v>
      </c>
      <c r="Q47" s="329"/>
      <c r="R47" s="329"/>
      <c r="S47" s="329"/>
      <c r="T47" s="329" t="n">
        <v>20</v>
      </c>
      <c r="U47" s="329"/>
      <c r="V47" s="329" t="n">
        <f aca="false">T47*P47</f>
        <v>200000</v>
      </c>
      <c r="W47" s="329"/>
      <c r="X47" s="329"/>
      <c r="Y47" s="329"/>
      <c r="Z47" s="329"/>
      <c r="AA47" s="329"/>
      <c r="AE47" s="330"/>
      <c r="AU47" s="42" t="n">
        <v>100</v>
      </c>
      <c r="AW47" s="42" t="n">
        <v>800000</v>
      </c>
    </row>
    <row r="48" s="42" customFormat="true" ht="19.5" hidden="false" customHeight="true" outlineLevel="0" collapsed="false">
      <c r="B48" s="325"/>
      <c r="C48" s="325"/>
      <c r="D48" s="325"/>
      <c r="E48" s="325"/>
      <c r="F48" s="325"/>
      <c r="G48" s="325"/>
      <c r="H48" s="325"/>
      <c r="I48" s="325"/>
      <c r="J48" s="325"/>
      <c r="K48" s="318" t="s">
        <v>575</v>
      </c>
      <c r="L48" s="318"/>
      <c r="M48" s="318"/>
      <c r="N48" s="318"/>
      <c r="O48" s="318"/>
      <c r="P48" s="319" t="n">
        <v>78000</v>
      </c>
      <c r="Q48" s="319"/>
      <c r="R48" s="319"/>
      <c r="S48" s="319"/>
      <c r="T48" s="319" t="n">
        <v>20</v>
      </c>
      <c r="U48" s="319"/>
      <c r="V48" s="319" t="n">
        <f aca="false">T48*P48</f>
        <v>1560000</v>
      </c>
      <c r="W48" s="319"/>
      <c r="X48" s="319"/>
      <c r="Y48" s="319"/>
      <c r="Z48" s="319"/>
      <c r="AA48" s="319"/>
      <c r="AE48" s="330"/>
      <c r="AG48" s="330"/>
      <c r="AU48" s="42" t="n">
        <v>100</v>
      </c>
      <c r="AW48" s="42" t="n">
        <v>5000000</v>
      </c>
    </row>
    <row r="49" s="42" customFormat="true" ht="19.5" hidden="false" customHeight="true" outlineLevel="0" collapsed="false">
      <c r="B49" s="325"/>
      <c r="C49" s="325"/>
      <c r="D49" s="325"/>
      <c r="E49" s="325"/>
      <c r="F49" s="325"/>
      <c r="G49" s="325"/>
      <c r="H49" s="325"/>
      <c r="I49" s="325"/>
      <c r="J49" s="325"/>
      <c r="K49" s="318" t="s">
        <v>576</v>
      </c>
      <c r="L49" s="318"/>
      <c r="M49" s="318"/>
      <c r="N49" s="318"/>
      <c r="O49" s="318"/>
      <c r="P49" s="319" t="n">
        <v>50000</v>
      </c>
      <c r="Q49" s="319"/>
      <c r="R49" s="319"/>
      <c r="S49" s="319"/>
      <c r="T49" s="319" t="n">
        <v>5</v>
      </c>
      <c r="U49" s="319"/>
      <c r="V49" s="319" t="n">
        <f aca="false">T49*P49</f>
        <v>250000</v>
      </c>
      <c r="W49" s="319"/>
      <c r="X49" s="319"/>
      <c r="Y49" s="319"/>
      <c r="Z49" s="319"/>
      <c r="AA49" s="319"/>
      <c r="AE49" s="330"/>
      <c r="AG49" s="330"/>
      <c r="AU49" s="42" t="n">
        <v>50</v>
      </c>
      <c r="AW49" s="42" t="n">
        <v>2400000</v>
      </c>
    </row>
    <row r="50" s="42" customFormat="true" ht="19.5" hidden="false" customHeight="true" outlineLevel="0" collapsed="false">
      <c r="B50" s="325"/>
      <c r="C50" s="325"/>
      <c r="D50" s="325"/>
      <c r="E50" s="325"/>
      <c r="F50" s="325"/>
      <c r="G50" s="325"/>
      <c r="H50" s="325"/>
      <c r="I50" s="325"/>
      <c r="J50" s="325"/>
      <c r="K50" s="318" t="s">
        <v>577</v>
      </c>
      <c r="L50" s="318"/>
      <c r="M50" s="318"/>
      <c r="N50" s="318"/>
      <c r="O50" s="318"/>
      <c r="P50" s="319" t="n">
        <v>9500</v>
      </c>
      <c r="Q50" s="319"/>
      <c r="R50" s="319"/>
      <c r="S50" s="319"/>
      <c r="T50" s="319" t="n">
        <v>20</v>
      </c>
      <c r="U50" s="319"/>
      <c r="V50" s="319" t="n">
        <f aca="false">T50*P50</f>
        <v>190000</v>
      </c>
      <c r="W50" s="319"/>
      <c r="X50" s="319"/>
      <c r="Y50" s="319"/>
      <c r="Z50" s="319"/>
      <c r="AA50" s="319"/>
      <c r="AU50" s="42" t="n">
        <v>100</v>
      </c>
      <c r="AW50" s="42" t="n">
        <v>200000</v>
      </c>
    </row>
    <row r="51" s="42" customFormat="true" ht="19.5" hidden="false" customHeight="true" outlineLevel="0" collapsed="false">
      <c r="B51" s="325"/>
      <c r="C51" s="325"/>
      <c r="D51" s="325"/>
      <c r="E51" s="325"/>
      <c r="F51" s="325"/>
      <c r="G51" s="325"/>
      <c r="H51" s="325"/>
      <c r="I51" s="325"/>
      <c r="J51" s="325"/>
      <c r="K51" s="318" t="s">
        <v>578</v>
      </c>
      <c r="L51" s="318"/>
      <c r="M51" s="318"/>
      <c r="N51" s="318"/>
      <c r="O51" s="318"/>
      <c r="P51" s="319" t="n">
        <v>12000</v>
      </c>
      <c r="Q51" s="319"/>
      <c r="R51" s="319"/>
      <c r="S51" s="319"/>
      <c r="T51" s="319" t="n">
        <v>3</v>
      </c>
      <c r="U51" s="319"/>
      <c r="V51" s="319" t="n">
        <f aca="false">T51*P51</f>
        <v>36000</v>
      </c>
      <c r="W51" s="319"/>
      <c r="X51" s="319"/>
      <c r="Y51" s="319"/>
      <c r="Z51" s="319"/>
      <c r="AA51" s="319"/>
      <c r="AU51" s="42" t="n">
        <v>100</v>
      </c>
      <c r="AW51" s="42" t="n">
        <v>200000</v>
      </c>
    </row>
    <row r="52" s="42" customFormat="true" ht="19.5" hidden="false" customHeight="true" outlineLevel="0" collapsed="false">
      <c r="B52" s="325"/>
      <c r="C52" s="325"/>
      <c r="D52" s="325"/>
      <c r="E52" s="325"/>
      <c r="F52" s="325"/>
      <c r="G52" s="325"/>
      <c r="H52" s="325"/>
      <c r="I52" s="325"/>
      <c r="J52" s="325"/>
      <c r="K52" s="318" t="s">
        <v>579</v>
      </c>
      <c r="L52" s="318"/>
      <c r="M52" s="318"/>
      <c r="N52" s="318"/>
      <c r="O52" s="318"/>
      <c r="P52" s="319"/>
      <c r="Q52" s="319"/>
      <c r="R52" s="319"/>
      <c r="S52" s="319"/>
      <c r="T52" s="319" t="n">
        <v>2</v>
      </c>
      <c r="U52" s="319"/>
      <c r="V52" s="319" t="n">
        <f aca="false">T52*P52</f>
        <v>0</v>
      </c>
      <c r="W52" s="319"/>
      <c r="X52" s="319"/>
      <c r="Y52" s="319"/>
      <c r="Z52" s="319"/>
      <c r="AA52" s="319"/>
      <c r="AU52" s="42" t="n">
        <v>100</v>
      </c>
      <c r="AW52" s="42" t="n">
        <v>2800000</v>
      </c>
    </row>
    <row r="53" s="42" customFormat="true" ht="19.5" hidden="false" customHeight="true" outlineLevel="0" collapsed="false">
      <c r="B53" s="320"/>
      <c r="C53" s="320"/>
      <c r="D53" s="320"/>
      <c r="E53" s="320"/>
      <c r="F53" s="320"/>
      <c r="G53" s="320"/>
      <c r="H53" s="320"/>
      <c r="I53" s="320"/>
      <c r="J53" s="320"/>
      <c r="K53" s="321"/>
      <c r="L53" s="321"/>
      <c r="M53" s="321"/>
      <c r="N53" s="321"/>
      <c r="O53" s="321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19"/>
      <c r="AA53" s="319"/>
      <c r="AU53" s="42" t="n">
        <v>500</v>
      </c>
      <c r="AW53" s="42" t="n">
        <v>900000</v>
      </c>
    </row>
    <row r="54" s="42" customFormat="true" ht="19.5" hidden="false" customHeight="true" outlineLevel="0" collapsed="false">
      <c r="B54" s="323" t="s">
        <v>568</v>
      </c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4" t="n">
        <f aca="false">SUM(V47:Y53)</f>
        <v>2236000</v>
      </c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</row>
    <row r="55" s="42" customFormat="true" ht="24" hidden="false" customHeight="true" outlineLevel="0" collapsed="false">
      <c r="B55" s="327" t="s">
        <v>580</v>
      </c>
      <c r="C55" s="327"/>
      <c r="D55" s="327"/>
      <c r="E55" s="327"/>
      <c r="F55" s="327"/>
      <c r="G55" s="327"/>
      <c r="H55" s="327"/>
      <c r="I55" s="327"/>
      <c r="J55" s="327"/>
      <c r="K55" s="328"/>
      <c r="L55" s="328"/>
      <c r="M55" s="328"/>
      <c r="N55" s="328"/>
      <c r="O55" s="328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19"/>
      <c r="AA55" s="319"/>
    </row>
    <row r="56" s="42" customFormat="true" ht="19.5" hidden="false" customHeight="true" outlineLevel="0" collapsed="false">
      <c r="B56" s="320"/>
      <c r="C56" s="320"/>
      <c r="D56" s="320"/>
      <c r="E56" s="320"/>
      <c r="F56" s="320"/>
      <c r="G56" s="320"/>
      <c r="H56" s="320"/>
      <c r="I56" s="320"/>
      <c r="J56" s="320"/>
      <c r="K56" s="321"/>
      <c r="L56" s="321"/>
      <c r="M56" s="321"/>
      <c r="N56" s="321"/>
      <c r="O56" s="321"/>
      <c r="P56" s="322"/>
      <c r="Q56" s="322"/>
      <c r="R56" s="322"/>
      <c r="S56" s="322"/>
      <c r="T56" s="322"/>
      <c r="U56" s="322"/>
      <c r="V56" s="322" t="n">
        <f aca="false">T56*P56</f>
        <v>0</v>
      </c>
      <c r="W56" s="322"/>
      <c r="X56" s="322"/>
      <c r="Y56" s="322"/>
      <c r="Z56" s="322"/>
      <c r="AA56" s="322"/>
    </row>
    <row r="57" s="42" customFormat="true" ht="19.5" hidden="false" customHeight="true" outlineLevel="0" collapsed="false">
      <c r="B57" s="326" t="s">
        <v>568</v>
      </c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19" t="n">
        <f aca="false">SUM(V55)</f>
        <v>0</v>
      </c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</row>
    <row r="58" s="42" customFormat="true" ht="24" hidden="false" customHeight="true" outlineLevel="0" collapsed="false">
      <c r="B58" s="327" t="s">
        <v>581</v>
      </c>
      <c r="C58" s="327"/>
      <c r="D58" s="327"/>
      <c r="E58" s="327"/>
      <c r="F58" s="327"/>
      <c r="G58" s="327"/>
      <c r="H58" s="327"/>
      <c r="I58" s="327"/>
      <c r="J58" s="327"/>
      <c r="K58" s="331" t="s">
        <v>582</v>
      </c>
      <c r="L58" s="331"/>
      <c r="M58" s="331"/>
      <c r="N58" s="331"/>
      <c r="O58" s="331"/>
      <c r="P58" s="329" t="n">
        <v>100000</v>
      </c>
      <c r="Q58" s="329"/>
      <c r="R58" s="329"/>
      <c r="S58" s="329"/>
      <c r="T58" s="329" t="n">
        <v>1</v>
      </c>
      <c r="U58" s="329"/>
      <c r="V58" s="329" t="n">
        <f aca="false">T58*P58</f>
        <v>100000</v>
      </c>
      <c r="W58" s="329"/>
      <c r="X58" s="329"/>
      <c r="Y58" s="329"/>
      <c r="Z58" s="329"/>
      <c r="AA58" s="329"/>
    </row>
    <row r="59" s="42" customFormat="true" ht="19.5" hidden="false" customHeight="true" outlineLevel="0" collapsed="false">
      <c r="B59" s="320"/>
      <c r="C59" s="320"/>
      <c r="D59" s="320"/>
      <c r="E59" s="320"/>
      <c r="F59" s="320"/>
      <c r="G59" s="320"/>
      <c r="H59" s="320"/>
      <c r="I59" s="320"/>
      <c r="J59" s="320"/>
      <c r="K59" s="321"/>
      <c r="L59" s="321"/>
      <c r="M59" s="321"/>
      <c r="N59" s="321"/>
      <c r="O59" s="321"/>
      <c r="P59" s="322"/>
      <c r="Q59" s="322"/>
      <c r="R59" s="322"/>
      <c r="S59" s="322"/>
      <c r="T59" s="322"/>
      <c r="U59" s="322"/>
      <c r="V59" s="322" t="n">
        <f aca="false">T59*P59</f>
        <v>0</v>
      </c>
      <c r="W59" s="322"/>
      <c r="X59" s="322"/>
      <c r="Y59" s="322"/>
      <c r="Z59" s="319"/>
      <c r="AA59" s="319"/>
    </row>
    <row r="60" s="42" customFormat="true" ht="19.5" hidden="false" customHeight="true" outlineLevel="0" collapsed="false">
      <c r="B60" s="323" t="s">
        <v>568</v>
      </c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4" t="n">
        <f aca="false">SUM(V58:Y59)</f>
        <v>100000</v>
      </c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</row>
    <row r="61" s="42" customFormat="true" ht="24" hidden="false" customHeight="true" outlineLevel="0" collapsed="false">
      <c r="B61" s="327" t="s">
        <v>583</v>
      </c>
      <c r="C61" s="327"/>
      <c r="D61" s="327"/>
      <c r="E61" s="327"/>
      <c r="F61" s="327"/>
      <c r="G61" s="327"/>
      <c r="H61" s="327"/>
      <c r="I61" s="327"/>
      <c r="J61" s="327"/>
      <c r="K61" s="328" t="s">
        <v>584</v>
      </c>
      <c r="L61" s="328"/>
      <c r="M61" s="328"/>
      <c r="N61" s="328"/>
      <c r="O61" s="328"/>
      <c r="P61" s="329" t="n">
        <v>80000</v>
      </c>
      <c r="Q61" s="329"/>
      <c r="R61" s="329"/>
      <c r="S61" s="329"/>
      <c r="T61" s="329" t="n">
        <v>2</v>
      </c>
      <c r="U61" s="329"/>
      <c r="V61" s="329" t="n">
        <f aca="false">T61*P61</f>
        <v>160000</v>
      </c>
      <c r="W61" s="329"/>
      <c r="X61" s="329"/>
      <c r="Y61" s="329"/>
      <c r="Z61" s="329"/>
      <c r="AA61" s="329"/>
    </row>
    <row r="62" s="42" customFormat="true" ht="19.5" hidden="false" customHeight="true" outlineLevel="0" collapsed="false">
      <c r="B62" s="325"/>
      <c r="C62" s="325"/>
      <c r="D62" s="325"/>
      <c r="E62" s="325"/>
      <c r="F62" s="325"/>
      <c r="G62" s="325"/>
      <c r="H62" s="325"/>
      <c r="I62" s="325"/>
      <c r="J62" s="325"/>
      <c r="K62" s="318"/>
      <c r="L62" s="318"/>
      <c r="M62" s="318"/>
      <c r="N62" s="318"/>
      <c r="O62" s="318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</row>
    <row r="63" s="42" customFormat="true" ht="19.5" hidden="false" customHeight="true" outlineLevel="0" collapsed="false">
      <c r="B63" s="320"/>
      <c r="C63" s="320"/>
      <c r="D63" s="320"/>
      <c r="E63" s="320"/>
      <c r="F63" s="320"/>
      <c r="G63" s="320"/>
      <c r="H63" s="320"/>
      <c r="I63" s="320"/>
      <c r="J63" s="320"/>
      <c r="K63" s="321"/>
      <c r="L63" s="321"/>
      <c r="M63" s="321"/>
      <c r="N63" s="321"/>
      <c r="O63" s="321"/>
      <c r="P63" s="322"/>
      <c r="Q63" s="322"/>
      <c r="R63" s="322"/>
      <c r="S63" s="322"/>
      <c r="T63" s="322"/>
      <c r="U63" s="322"/>
      <c r="V63" s="322" t="n">
        <f aca="false">T63*P63</f>
        <v>0</v>
      </c>
      <c r="W63" s="322"/>
      <c r="X63" s="322"/>
      <c r="Y63" s="322"/>
      <c r="Z63" s="319"/>
      <c r="AA63" s="319"/>
    </row>
    <row r="64" s="42" customFormat="true" ht="19.5" hidden="false" customHeight="true" outlineLevel="0" collapsed="false">
      <c r="B64" s="332" t="s">
        <v>568</v>
      </c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3" t="n">
        <f aca="false">SUM(V61:Y63)</f>
        <v>160000</v>
      </c>
      <c r="Q64" s="333"/>
      <c r="R64" s="333"/>
      <c r="S64" s="333"/>
      <c r="T64" s="333"/>
      <c r="U64" s="333"/>
      <c r="V64" s="333"/>
      <c r="W64" s="333"/>
      <c r="X64" s="333"/>
      <c r="Y64" s="333"/>
      <c r="Z64" s="333"/>
      <c r="AA64" s="333"/>
    </row>
    <row r="65" s="42" customFormat="true" ht="25.5" hidden="false" customHeight="true" outlineLevel="0" collapsed="false">
      <c r="B65" s="323" t="s">
        <v>585</v>
      </c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4" t="n">
        <f aca="false">P41+P46+P54+P57+P60+P64</f>
        <v>3246000</v>
      </c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C65" s="334" t="n">
        <f aca="false">G11-P65</f>
        <v>-246000</v>
      </c>
    </row>
    <row r="66" s="42" customFormat="true" ht="25.5" hidden="false" customHeight="true" outlineLevel="0" collapsed="false"/>
    <row r="67" s="42" customFormat="true" ht="25.5" hidden="false" customHeight="true" outlineLevel="0" collapsed="false">
      <c r="AG67" s="330"/>
    </row>
  </sheetData>
  <mergeCells count="204">
    <mergeCell ref="C4:Z4"/>
    <mergeCell ref="C6:F6"/>
    <mergeCell ref="G6:Z6"/>
    <mergeCell ref="C7:F7"/>
    <mergeCell ref="G7:O7"/>
    <mergeCell ref="P7:S7"/>
    <mergeCell ref="T7:Z7"/>
    <mergeCell ref="C8:F8"/>
    <mergeCell ref="G8:Z8"/>
    <mergeCell ref="C9:F9"/>
    <mergeCell ref="H9:L9"/>
    <mergeCell ref="O9:S9"/>
    <mergeCell ref="C10:F10"/>
    <mergeCell ref="G10:O10"/>
    <mergeCell ref="P10:S10"/>
    <mergeCell ref="T10:Z10"/>
    <mergeCell ref="C11:F11"/>
    <mergeCell ref="G11:O11"/>
    <mergeCell ref="P11:S11"/>
    <mergeCell ref="T11:Z11"/>
    <mergeCell ref="C12:Z12"/>
    <mergeCell ref="C13:O13"/>
    <mergeCell ref="P13:V13"/>
    <mergeCell ref="W13:Z13"/>
    <mergeCell ref="C14:O14"/>
    <mergeCell ref="P14:V14"/>
    <mergeCell ref="W14:Z14"/>
    <mergeCell ref="C15:O15"/>
    <mergeCell ref="P15:V15"/>
    <mergeCell ref="W15:Z15"/>
    <mergeCell ref="C16:O16"/>
    <mergeCell ref="P16:V16"/>
    <mergeCell ref="W16:Z16"/>
    <mergeCell ref="C17:O17"/>
    <mergeCell ref="P17:V17"/>
    <mergeCell ref="W17:Z17"/>
    <mergeCell ref="C18:O18"/>
    <mergeCell ref="P18:V18"/>
    <mergeCell ref="W18:Z18"/>
    <mergeCell ref="C19:O19"/>
    <mergeCell ref="P19:V19"/>
    <mergeCell ref="W19:Z19"/>
    <mergeCell ref="C20:O20"/>
    <mergeCell ref="P20:V20"/>
    <mergeCell ref="W20:Z20"/>
    <mergeCell ref="C24:Z24"/>
    <mergeCell ref="B25:AA25"/>
    <mergeCell ref="I26:K26"/>
    <mergeCell ref="I27:K27"/>
    <mergeCell ref="I28:K28"/>
    <mergeCell ref="N28:Z28"/>
    <mergeCell ref="I29:K29"/>
    <mergeCell ref="N29:S29"/>
    <mergeCell ref="I30:K30"/>
    <mergeCell ref="N30:Q30"/>
    <mergeCell ref="I31:K31"/>
    <mergeCell ref="N31:Q31"/>
    <mergeCell ref="B38:J38"/>
    <mergeCell ref="K38:O38"/>
    <mergeCell ref="P38:S38"/>
    <mergeCell ref="T38:U38"/>
    <mergeCell ref="V38:Y38"/>
    <mergeCell ref="Z38:AA38"/>
    <mergeCell ref="B39:J39"/>
    <mergeCell ref="K39:O39"/>
    <mergeCell ref="P39:S39"/>
    <mergeCell ref="T39:U39"/>
    <mergeCell ref="V39:Y39"/>
    <mergeCell ref="Z39:AA39"/>
    <mergeCell ref="B40:J40"/>
    <mergeCell ref="K40:O40"/>
    <mergeCell ref="P40:S40"/>
    <mergeCell ref="T40:U40"/>
    <mergeCell ref="V40:Y40"/>
    <mergeCell ref="Z40:AA40"/>
    <mergeCell ref="B41:O41"/>
    <mergeCell ref="P41:Y41"/>
    <mergeCell ref="Z41:AA41"/>
    <mergeCell ref="B42:J42"/>
    <mergeCell ref="K42:O42"/>
    <mergeCell ref="P42:S42"/>
    <mergeCell ref="T42:U42"/>
    <mergeCell ref="V42:Y42"/>
    <mergeCell ref="Z42:AA42"/>
    <mergeCell ref="B43:J43"/>
    <mergeCell ref="K43:O43"/>
    <mergeCell ref="P43:S43"/>
    <mergeCell ref="T43:U43"/>
    <mergeCell ref="V43:Y43"/>
    <mergeCell ref="Z43:AA43"/>
    <mergeCell ref="B44:J44"/>
    <mergeCell ref="K44:O44"/>
    <mergeCell ref="P44:S44"/>
    <mergeCell ref="T44:U44"/>
    <mergeCell ref="V44:Y44"/>
    <mergeCell ref="Z44:AA44"/>
    <mergeCell ref="B45:J45"/>
    <mergeCell ref="K45:O45"/>
    <mergeCell ref="P45:S45"/>
    <mergeCell ref="T45:U45"/>
    <mergeCell ref="V45:Y45"/>
    <mergeCell ref="Z45:AA45"/>
    <mergeCell ref="B46:O46"/>
    <mergeCell ref="P46:Y46"/>
    <mergeCell ref="Z46:AA46"/>
    <mergeCell ref="B47:J47"/>
    <mergeCell ref="K47:O47"/>
    <mergeCell ref="P47:S47"/>
    <mergeCell ref="T47:U47"/>
    <mergeCell ref="V47:Y47"/>
    <mergeCell ref="Z47:AA47"/>
    <mergeCell ref="B48:J48"/>
    <mergeCell ref="K48:O48"/>
    <mergeCell ref="P48:S48"/>
    <mergeCell ref="T48:U48"/>
    <mergeCell ref="V48:Y48"/>
    <mergeCell ref="Z48:AA48"/>
    <mergeCell ref="B49:J49"/>
    <mergeCell ref="K49:O49"/>
    <mergeCell ref="P49:S49"/>
    <mergeCell ref="T49:U49"/>
    <mergeCell ref="V49:Y49"/>
    <mergeCell ref="Z49:AA49"/>
    <mergeCell ref="B50:J50"/>
    <mergeCell ref="K50:O50"/>
    <mergeCell ref="P50:S50"/>
    <mergeCell ref="T50:U50"/>
    <mergeCell ref="V50:Y50"/>
    <mergeCell ref="Z50:AA50"/>
    <mergeCell ref="B51:J51"/>
    <mergeCell ref="K51:O51"/>
    <mergeCell ref="P51:S51"/>
    <mergeCell ref="T51:U51"/>
    <mergeCell ref="V51:Y51"/>
    <mergeCell ref="Z51:AA51"/>
    <mergeCell ref="B52:J52"/>
    <mergeCell ref="K52:O52"/>
    <mergeCell ref="P52:S52"/>
    <mergeCell ref="T52:U52"/>
    <mergeCell ref="V52:Y52"/>
    <mergeCell ref="Z52:AA52"/>
    <mergeCell ref="B53:J53"/>
    <mergeCell ref="K53:O53"/>
    <mergeCell ref="P53:S53"/>
    <mergeCell ref="T53:U53"/>
    <mergeCell ref="V53:Y53"/>
    <mergeCell ref="Z53:AA53"/>
    <mergeCell ref="B54:O54"/>
    <mergeCell ref="P54:Y54"/>
    <mergeCell ref="Z54:AA54"/>
    <mergeCell ref="B55:J55"/>
    <mergeCell ref="K55:O55"/>
    <mergeCell ref="P55:S55"/>
    <mergeCell ref="T55:U55"/>
    <mergeCell ref="V55:Y55"/>
    <mergeCell ref="Z55:AA55"/>
    <mergeCell ref="B56:J56"/>
    <mergeCell ref="K56:O56"/>
    <mergeCell ref="P56:S56"/>
    <mergeCell ref="T56:U56"/>
    <mergeCell ref="V56:Y56"/>
    <mergeCell ref="Z56:AA56"/>
    <mergeCell ref="B57:O57"/>
    <mergeCell ref="P57:Y57"/>
    <mergeCell ref="Z57:AA57"/>
    <mergeCell ref="B58:J58"/>
    <mergeCell ref="K58:O58"/>
    <mergeCell ref="P58:S58"/>
    <mergeCell ref="T58:U58"/>
    <mergeCell ref="V58:Y58"/>
    <mergeCell ref="Z58:AA58"/>
    <mergeCell ref="B59:J59"/>
    <mergeCell ref="K59:O59"/>
    <mergeCell ref="P59:S59"/>
    <mergeCell ref="T59:U59"/>
    <mergeCell ref="V59:Y59"/>
    <mergeCell ref="Z59:AA59"/>
    <mergeCell ref="B60:O60"/>
    <mergeCell ref="P60:Y60"/>
    <mergeCell ref="Z60:AA60"/>
    <mergeCell ref="B61:J61"/>
    <mergeCell ref="K61:O61"/>
    <mergeCell ref="P61:S61"/>
    <mergeCell ref="T61:U61"/>
    <mergeCell ref="V61:Y61"/>
    <mergeCell ref="Z61:AA61"/>
    <mergeCell ref="B62:J62"/>
    <mergeCell ref="K62:O62"/>
    <mergeCell ref="P62:S62"/>
    <mergeCell ref="T62:U62"/>
    <mergeCell ref="V62:Y62"/>
    <mergeCell ref="Z62:AA62"/>
    <mergeCell ref="B63:J63"/>
    <mergeCell ref="K63:O63"/>
    <mergeCell ref="P63:S63"/>
    <mergeCell ref="T63:U63"/>
    <mergeCell ref="V63:Y63"/>
    <mergeCell ref="Z63:AA63"/>
    <mergeCell ref="B64:O64"/>
    <mergeCell ref="P64:Y64"/>
    <mergeCell ref="Z64:AA64"/>
    <mergeCell ref="B65:O65"/>
    <mergeCell ref="P65:Y65"/>
    <mergeCell ref="Z65:AA65"/>
  </mergeCells>
  <printOptions headings="false" gridLines="false" gridLinesSet="true" horizontalCentered="true" verticalCentered="false"/>
  <pageMargins left="0.472222222222222" right="0.511805555555556" top="0.747916666666667" bottom="0.551388888888889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2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false" showOutlineSymbols="true" defaultGridColor="true" view="pageBreakPreview" topLeftCell="A8" colorId="64" zoomScale="100" zoomScaleNormal="100" zoomScalePageLayoutView="100" workbookViewId="0">
      <selection pane="topLeft" activeCell="L28" activeCellId="0" sqref="L28"/>
    </sheetView>
  </sheetViews>
  <sheetFormatPr defaultColWidth="8.75" defaultRowHeight="16.5" zeroHeight="false" outlineLevelRow="0" outlineLevelCol="0"/>
  <cols>
    <col collapsed="false" customWidth="true" hidden="false" outlineLevel="0" max="1" min="1" style="42" width="2.88"/>
    <col collapsed="false" customWidth="true" hidden="false" outlineLevel="0" max="2" min="2" style="42" width="17.13"/>
    <col collapsed="false" customWidth="true" hidden="false" outlineLevel="0" max="3" min="3" style="42" width="2.5"/>
    <col collapsed="false" customWidth="true" hidden="false" outlineLevel="0" max="4" min="4" style="42" width="11.75"/>
    <col collapsed="false" customWidth="true" hidden="false" outlineLevel="0" max="5" min="5" style="42" width="2.13"/>
    <col collapsed="false" customWidth="true" hidden="false" outlineLevel="0" max="6" min="6" style="42" width="16"/>
    <col collapsed="false" customWidth="true" hidden="false" outlineLevel="0" max="7" min="7" style="42" width="25.75"/>
    <col collapsed="false" customWidth="true" hidden="false" outlineLevel="0" max="8" min="8" style="42" width="2.13"/>
    <col collapsed="false" customWidth="false" hidden="false" outlineLevel="0" max="16384" min="9" style="42" width="8.75"/>
  </cols>
  <sheetData>
    <row r="1" customFormat="false" ht="39.75" hidden="false" customHeight="true" outlineLevel="0" collapsed="false">
      <c r="B1" s="50" t="s">
        <v>586</v>
      </c>
      <c r="C1" s="50"/>
      <c r="D1" s="50"/>
      <c r="E1" s="50"/>
      <c r="F1" s="50"/>
      <c r="G1" s="50"/>
      <c r="H1" s="51"/>
    </row>
    <row r="2" customFormat="false" ht="15" hidden="false" customHeight="true" outlineLevel="0" collapsed="false">
      <c r="B2" s="52"/>
      <c r="C2" s="52"/>
      <c r="D2" s="52"/>
      <c r="E2" s="52"/>
      <c r="F2" s="52"/>
      <c r="G2" s="52"/>
      <c r="H2" s="51"/>
    </row>
    <row r="3" customFormat="false" ht="27.75" hidden="false" customHeight="true" outlineLevel="0" collapsed="false">
      <c r="B3" s="53" t="s">
        <v>0</v>
      </c>
      <c r="C3" s="54" t="s">
        <v>63</v>
      </c>
      <c r="D3" s="55" t="str">
        <f aca="false">공사정보_출력X!C2</f>
        <v>(예시) OO부대 시설물 보수공사</v>
      </c>
      <c r="E3" s="55"/>
      <c r="F3" s="55"/>
      <c r="G3" s="55"/>
    </row>
    <row r="4" customFormat="false" ht="27.75" hidden="false" customHeight="true" outlineLevel="0" collapsed="false">
      <c r="B4" s="53" t="s">
        <v>64</v>
      </c>
      <c r="C4" s="54" t="s">
        <v>63</v>
      </c>
      <c r="D4" s="56" t="e">
        <f aca="false">"일금 "&amp;numberstring(공사정보_출력X!C9,1)&amp;"원정 ("&amp;DOLLAR(공사정보_출력X!C9,0)&amp;") "</f>
        <v>#NAME?</v>
      </c>
      <c r="E4" s="56"/>
      <c r="F4" s="56"/>
      <c r="G4" s="56"/>
    </row>
    <row r="5" customFormat="false" ht="27.75" hidden="false" customHeight="true" outlineLevel="0" collapsed="false">
      <c r="B5" s="53" t="s">
        <v>119</v>
      </c>
      <c r="C5" s="54" t="s">
        <v>63</v>
      </c>
      <c r="D5" s="58" t="str">
        <f aca="false">공사정보_출력X!C6</f>
        <v>주식회사 가상건설</v>
      </c>
      <c r="E5" s="58"/>
      <c r="F5" s="58"/>
      <c r="G5" s="59"/>
    </row>
    <row r="6" customFormat="false" ht="27.75" hidden="false" customHeight="true" outlineLevel="0" collapsed="false">
      <c r="B6" s="53" t="s">
        <v>18</v>
      </c>
      <c r="C6" s="54" t="s">
        <v>63</v>
      </c>
      <c r="D6" s="58" t="n">
        <f aca="false">공사정보_출력X!C11</f>
        <v>46029</v>
      </c>
      <c r="E6" s="58"/>
      <c r="F6" s="58"/>
      <c r="G6" s="59"/>
    </row>
    <row r="7" customFormat="false" ht="27.75" hidden="false" customHeight="true" outlineLevel="0" collapsed="false">
      <c r="B7" s="53" t="s">
        <v>19</v>
      </c>
      <c r="C7" s="54" t="s">
        <v>63</v>
      </c>
      <c r="D7" s="58" t="n">
        <f aca="false">공사정보_출력X!C12</f>
        <v>46073</v>
      </c>
      <c r="E7" s="58"/>
      <c r="F7" s="58"/>
      <c r="G7" s="59"/>
    </row>
    <row r="8" customFormat="false" ht="24.75" hidden="false" customHeight="true" outlineLevel="0" collapsed="false"/>
    <row r="9" customFormat="false" ht="24.75" hidden="false" customHeight="true" outlineLevel="0" collapsed="false"/>
    <row r="10" customFormat="false" ht="24.75" hidden="false" customHeight="true" outlineLevel="0" collapsed="false"/>
    <row r="11" customFormat="false" ht="24.75" hidden="false" customHeight="true" outlineLevel="0" collapsed="false"/>
    <row r="12" customFormat="false" ht="30" hidden="false" customHeight="true" outlineLevel="0" collapsed="false">
      <c r="B12" s="60" t="s">
        <v>587</v>
      </c>
    </row>
    <row r="13" customFormat="false" ht="24" hidden="false" customHeight="true" outlineLevel="0" collapsed="false">
      <c r="B13" s="61"/>
    </row>
    <row r="14" customFormat="false" ht="24" hidden="false" customHeight="true" outlineLevel="0" collapsed="false">
      <c r="B14" s="61"/>
    </row>
    <row r="15" customFormat="false" ht="24" hidden="false" customHeight="true" outlineLevel="0" collapsed="false">
      <c r="B15" s="61"/>
    </row>
    <row r="16" customFormat="false" ht="24" hidden="false" customHeight="true" outlineLevel="0" collapsed="false">
      <c r="B16" s="61"/>
    </row>
    <row r="17" customFormat="false" ht="24.75" hidden="false" customHeight="true" outlineLevel="0" collapsed="false">
      <c r="B17" s="62" t="s">
        <v>66</v>
      </c>
      <c r="C17" s="42" t="s">
        <v>588</v>
      </c>
    </row>
    <row r="18" customFormat="false" ht="24.75" hidden="false" customHeight="true" outlineLevel="0" collapsed="false">
      <c r="B18" s="61"/>
    </row>
    <row r="19" customFormat="false" ht="24.75" hidden="false" customHeight="true" outlineLevel="0" collapsed="false">
      <c r="B19" s="61"/>
    </row>
    <row r="20" customFormat="false" ht="30" hidden="false" customHeight="true" outlineLevel="0" collapsed="false">
      <c r="B20" s="169" t="n">
        <f aca="false">공사정보_출력X!C5</f>
        <v>46035</v>
      </c>
      <c r="C20" s="169"/>
      <c r="D20" s="169"/>
      <c r="E20" s="169"/>
      <c r="F20" s="169"/>
      <c r="G20" s="169"/>
      <c r="H20" s="54"/>
    </row>
    <row r="21" customFormat="false" ht="30" hidden="false" customHeight="true" outlineLevel="0" collapsed="false">
      <c r="B21" s="75"/>
      <c r="C21" s="54"/>
      <c r="D21" s="54"/>
      <c r="E21" s="54"/>
      <c r="F21" s="54"/>
      <c r="G21" s="54"/>
      <c r="H21" s="54"/>
    </row>
    <row r="22" customFormat="false" ht="30" hidden="false" customHeight="true" outlineLevel="0" collapsed="false">
      <c r="B22" s="64"/>
    </row>
    <row r="23" customFormat="false" ht="30" hidden="false" customHeight="true" outlineLevel="0" collapsed="false">
      <c r="D23" s="53" t="s">
        <v>122</v>
      </c>
      <c r="E23" s="54" t="s">
        <v>63</v>
      </c>
      <c r="F23" s="79" t="str">
        <f aca="false">공사정보_출력X!E6</f>
        <v>OO도 OO시 OO구 OO로 00 (OO동) OOO호</v>
      </c>
      <c r="G23" s="79"/>
    </row>
    <row r="24" customFormat="false" ht="30" hidden="false" customHeight="true" outlineLevel="0" collapsed="false">
      <c r="D24" s="53" t="s">
        <v>123</v>
      </c>
      <c r="E24" s="54" t="s">
        <v>63</v>
      </c>
      <c r="F24" s="65" t="str">
        <f aca="false">"현장대리인           "&amp;공사정보_출력X!C13&amp;"   (인)"</f>
        <v>현장대리인           홍길동   (인)</v>
      </c>
      <c r="G24" s="65"/>
    </row>
    <row r="25" customFormat="false" ht="30" hidden="false" customHeight="true" outlineLevel="0" collapsed="false">
      <c r="D25" s="53" t="s">
        <v>124</v>
      </c>
      <c r="E25" s="54" t="s">
        <v>63</v>
      </c>
      <c r="F25" s="170" t="s">
        <v>125</v>
      </c>
      <c r="G25" s="170"/>
    </row>
    <row r="26" customFormat="false" ht="30" hidden="false" customHeight="true" outlineLevel="0" collapsed="false"/>
    <row r="27" customFormat="false" ht="30" hidden="false" customHeight="true" outlineLevel="0" collapsed="false">
      <c r="B27" s="66" t="str">
        <f aca="false">공사정보_출력X!C8</f>
        <v>OO부대</v>
      </c>
      <c r="C27" s="66"/>
      <c r="D27" s="66"/>
    </row>
    <row r="28" customFormat="false" ht="14.25" hidden="false" customHeight="true" outlineLevel="0" collapsed="false"/>
  </sheetData>
  <mergeCells count="10">
    <mergeCell ref="B1:G1"/>
    <mergeCell ref="D3:G3"/>
    <mergeCell ref="D4:G4"/>
    <mergeCell ref="D5:F5"/>
    <mergeCell ref="D6:F6"/>
    <mergeCell ref="D7:F7"/>
    <mergeCell ref="B20:G20"/>
    <mergeCell ref="F23:G23"/>
    <mergeCell ref="F24:G24"/>
    <mergeCell ref="F25:G25"/>
  </mergeCells>
  <printOptions headings="false" gridLines="false" gridLinesSet="true" horizontalCentered="true" verticalCentered="false"/>
  <pageMargins left="0.7875" right="0.7875" top="0.984027777777778" bottom="0.59027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270"/>
  <sheetViews>
    <sheetView showFormulas="false" showGridLines="false" showRowColHeaders="true" showZeros="true" rightToLeft="false" tabSelected="false" showOutlineSymbols="true" defaultGridColor="true" view="pageBreakPreview" topLeftCell="B1" colorId="64" zoomScale="100" zoomScaleNormal="100" zoomScalePageLayoutView="100" workbookViewId="0">
      <selection pane="topLeft" activeCell="AD17" activeCellId="0" sqref="AD17"/>
    </sheetView>
  </sheetViews>
  <sheetFormatPr defaultColWidth="9" defaultRowHeight="13.5" zeroHeight="false" outlineLevelRow="0" outlineLevelCol="0"/>
  <cols>
    <col collapsed="false" customWidth="true" hidden="false" outlineLevel="0" max="5" min="1" style="173" width="3.13"/>
    <col collapsed="false" customWidth="true" hidden="false" outlineLevel="0" max="10" min="6" style="173" width="3.5"/>
    <col collapsed="false" customWidth="true" hidden="false" outlineLevel="0" max="19" min="11" style="173" width="3.13"/>
    <col collapsed="false" customWidth="true" hidden="false" outlineLevel="0" max="23" min="20" style="173" width="3.75"/>
    <col collapsed="false" customWidth="true" hidden="false" outlineLevel="0" max="27" min="24" style="173" width="3.13"/>
    <col collapsed="false" customWidth="false" hidden="false" outlineLevel="0" max="16384" min="28" style="173" width="9"/>
  </cols>
  <sheetData>
    <row r="1" customFormat="false" ht="15" hidden="false" customHeight="true" outlineLevel="0" collapsed="false"/>
    <row r="2" customFormat="false" ht="24" hidden="false" customHeight="true" outlineLevel="0" collapsed="false">
      <c r="B2" s="171" t="s">
        <v>589</v>
      </c>
      <c r="C2" s="42"/>
      <c r="D2" s="42"/>
      <c r="E2" s="42"/>
      <c r="F2" s="42"/>
    </row>
    <row r="3" customFormat="false" ht="15" hidden="false" customHeight="true" outlineLevel="0" collapsed="false">
      <c r="B3" s="171"/>
      <c r="C3" s="42"/>
      <c r="D3" s="42"/>
      <c r="E3" s="42"/>
      <c r="F3" s="42"/>
    </row>
    <row r="4" customFormat="false" ht="15" hidden="false" customHeight="true" outlineLevel="0" collapsed="false">
      <c r="B4" s="172" t="s">
        <v>590</v>
      </c>
      <c r="C4" s="42"/>
      <c r="D4" s="42"/>
      <c r="E4" s="42"/>
      <c r="F4" s="42"/>
    </row>
    <row r="5" customFormat="false" ht="15" hidden="false" customHeight="true" outlineLevel="0" collapsed="false">
      <c r="C5" s="196" t="s">
        <v>591</v>
      </c>
      <c r="D5" s="42"/>
      <c r="E5" s="42"/>
      <c r="F5" s="42"/>
    </row>
    <row r="6" customFormat="false" ht="15" hidden="false" customHeight="true" outlineLevel="0" collapsed="false">
      <c r="C6" s="196" t="s">
        <v>592</v>
      </c>
      <c r="D6" s="42"/>
      <c r="E6" s="42"/>
      <c r="F6" s="42"/>
    </row>
    <row r="7" customFormat="false" ht="15" hidden="false" customHeight="true" outlineLevel="0" collapsed="false">
      <c r="C7" s="196" t="s">
        <v>593</v>
      </c>
      <c r="D7" s="42"/>
      <c r="E7" s="42"/>
      <c r="F7" s="42"/>
    </row>
    <row r="8" customFormat="false" ht="15" hidden="false" customHeight="true" outlineLevel="0" collapsed="false">
      <c r="C8" s="186" t="s">
        <v>594</v>
      </c>
      <c r="D8" s="42"/>
      <c r="E8" s="42"/>
      <c r="F8" s="42"/>
    </row>
    <row r="9" customFormat="false" ht="20.25" hidden="false" customHeight="true" outlineLevel="0" collapsed="false">
      <c r="C9" s="196"/>
      <c r="D9" s="335" t="s">
        <v>595</v>
      </c>
      <c r="E9" s="335"/>
      <c r="F9" s="335"/>
      <c r="G9" s="335"/>
      <c r="H9" s="335"/>
      <c r="I9" s="335"/>
      <c r="J9" s="336" t="s">
        <v>596</v>
      </c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37"/>
      <c r="Y9" s="338"/>
    </row>
    <row r="10" customFormat="false" ht="20.25" hidden="false" customHeight="true" outlineLevel="0" collapsed="false">
      <c r="C10" s="196"/>
      <c r="D10" s="339" t="s">
        <v>597</v>
      </c>
      <c r="E10" s="339"/>
      <c r="F10" s="339"/>
      <c r="G10" s="339"/>
      <c r="H10" s="339"/>
      <c r="I10" s="339"/>
      <c r="J10" s="340" t="s">
        <v>598</v>
      </c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6"/>
    </row>
    <row r="11" customFormat="false" ht="20.25" hidden="false" customHeight="true" outlineLevel="0" collapsed="false">
      <c r="C11" s="196"/>
      <c r="D11" s="341" t="s">
        <v>599</v>
      </c>
      <c r="E11" s="341"/>
      <c r="F11" s="341"/>
      <c r="G11" s="341"/>
      <c r="H11" s="341"/>
      <c r="I11" s="341"/>
      <c r="J11" s="342" t="s">
        <v>600</v>
      </c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221"/>
    </row>
    <row r="12" customFormat="false" ht="20.25" hidden="false" customHeight="true" outlineLevel="0" collapsed="false">
      <c r="C12" s="196"/>
      <c r="D12" s="343" t="s">
        <v>601</v>
      </c>
      <c r="E12" s="343"/>
      <c r="F12" s="343"/>
      <c r="G12" s="343"/>
      <c r="H12" s="343"/>
      <c r="I12" s="343"/>
      <c r="J12" s="344" t="s">
        <v>602</v>
      </c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6"/>
    </row>
    <row r="13" s="345" customFormat="true" ht="15" hidden="false" customHeight="true" outlineLevel="0" collapsed="false">
      <c r="C13" s="346" t="s">
        <v>603</v>
      </c>
    </row>
    <row r="14" s="345" customFormat="true" ht="15" hidden="false" customHeight="true" outlineLevel="0" collapsed="false">
      <c r="C14" s="346"/>
      <c r="D14" s="347" t="s">
        <v>604</v>
      </c>
    </row>
    <row r="15" customFormat="false" ht="15" hidden="false" customHeight="true" outlineLevel="0" collapsed="false">
      <c r="C15" s="196"/>
      <c r="D15" s="247" t="s">
        <v>605</v>
      </c>
    </row>
    <row r="16" customFormat="false" ht="15" hidden="false" customHeight="true" outlineLevel="0" collapsed="false">
      <c r="C16" s="196"/>
      <c r="D16" s="247" t="s">
        <v>606</v>
      </c>
    </row>
    <row r="17" customFormat="false" ht="15" hidden="false" customHeight="true" outlineLevel="0" collapsed="false">
      <c r="C17" s="196"/>
      <c r="D17" s="247" t="s">
        <v>607</v>
      </c>
    </row>
    <row r="18" customFormat="false" ht="15.75" hidden="false" customHeight="true" outlineLevel="0" collapsed="false">
      <c r="C18" s="196"/>
      <c r="D18" s="42"/>
      <c r="E18" s="42"/>
      <c r="F18" s="42"/>
    </row>
    <row r="19" customFormat="false" ht="15" hidden="false" customHeight="true" outlineLevel="0" collapsed="false">
      <c r="B19" s="172" t="s">
        <v>608</v>
      </c>
      <c r="C19" s="42"/>
      <c r="D19" s="42"/>
      <c r="E19" s="42"/>
      <c r="F19" s="42"/>
    </row>
    <row r="20" customFormat="false" ht="24.75" hidden="false" customHeight="true" outlineLevel="0" collapsed="false">
      <c r="C20" s="196"/>
      <c r="D20" s="42"/>
      <c r="E20" s="42"/>
      <c r="F20" s="42"/>
    </row>
    <row r="21" customFormat="false" ht="24.75" hidden="false" customHeight="true" outlineLevel="0" collapsed="false">
      <c r="C21" s="196"/>
      <c r="D21" s="42"/>
      <c r="E21" s="42"/>
      <c r="F21" s="187"/>
      <c r="G21" s="188" t="s">
        <v>135</v>
      </c>
      <c r="H21" s="188"/>
      <c r="I21" s="188"/>
      <c r="J21" s="188"/>
      <c r="K21" s="188"/>
      <c r="L21" s="188"/>
      <c r="M21" s="188"/>
      <c r="P21" s="196"/>
      <c r="Q21" s="188" t="s">
        <v>136</v>
      </c>
      <c r="R21" s="188"/>
      <c r="S21" s="188"/>
      <c r="T21" s="188"/>
      <c r="U21" s="188"/>
      <c r="V21" s="188"/>
      <c r="W21" s="188"/>
    </row>
    <row r="22" customFormat="false" ht="24.75" hidden="false" customHeight="true" outlineLevel="0" collapsed="false">
      <c r="C22" s="196"/>
      <c r="D22" s="42"/>
      <c r="E22" s="42"/>
      <c r="F22" s="187"/>
      <c r="G22" s="189" t="str">
        <f aca="false">공사정보_출력X!C8</f>
        <v>OO부대</v>
      </c>
      <c r="H22" s="189"/>
      <c r="I22" s="189"/>
      <c r="J22" s="189"/>
      <c r="K22" s="189"/>
      <c r="L22" s="189"/>
      <c r="M22" s="189"/>
      <c r="Q22" s="190" t="str">
        <f aca="false">공사정보_출력X!C6</f>
        <v>주식회사 가상건설</v>
      </c>
      <c r="R22" s="190"/>
      <c r="S22" s="190"/>
      <c r="T22" s="190"/>
      <c r="U22" s="190"/>
      <c r="V22" s="190"/>
      <c r="W22" s="190"/>
    </row>
    <row r="23" customFormat="false" ht="24.75" hidden="false" customHeight="true" outlineLevel="0" collapsed="false">
      <c r="C23" s="196"/>
      <c r="D23" s="42"/>
      <c r="E23" s="42"/>
      <c r="F23" s="187"/>
      <c r="G23" s="191" t="str">
        <f aca="false">공사정보_출력X!D8</f>
        <v>031-000-0001</v>
      </c>
      <c r="H23" s="191"/>
      <c r="I23" s="191"/>
      <c r="J23" s="191"/>
      <c r="K23" s="191"/>
      <c r="L23" s="191"/>
      <c r="M23" s="191"/>
      <c r="Q23" s="191" t="str">
        <f aca="false">공사정보_출력X!D6</f>
        <v>031-000-0000</v>
      </c>
      <c r="R23" s="191"/>
      <c r="S23" s="191"/>
      <c r="T23" s="191"/>
      <c r="U23" s="191"/>
      <c r="V23" s="191"/>
      <c r="W23" s="191"/>
    </row>
    <row r="24" customFormat="false" ht="24.75" hidden="false" customHeight="true" outlineLevel="0" collapsed="false">
      <c r="C24" s="196"/>
      <c r="D24" s="42"/>
      <c r="E24" s="42"/>
      <c r="F24" s="187"/>
    </row>
    <row r="25" customFormat="false" ht="24.75" hidden="false" customHeight="true" outlineLevel="0" collapsed="false">
      <c r="C25" s="196"/>
      <c r="D25" s="42"/>
      <c r="E25" s="42"/>
      <c r="F25" s="187"/>
      <c r="K25" s="192" t="s">
        <v>20</v>
      </c>
      <c r="L25" s="192"/>
      <c r="M25" s="192"/>
      <c r="N25" s="192"/>
      <c r="O25" s="192"/>
      <c r="P25" s="192"/>
      <c r="Q25" s="192"/>
      <c r="R25" s="192"/>
      <c r="S25" s="192"/>
    </row>
    <row r="26" customFormat="false" ht="24.75" hidden="false" customHeight="true" outlineLevel="0" collapsed="false">
      <c r="C26" s="196"/>
      <c r="D26" s="42"/>
      <c r="E26" s="42"/>
      <c r="F26" s="187"/>
      <c r="K26" s="193" t="str">
        <f aca="false">공사정보_출력X!C13</f>
        <v>홍길동</v>
      </c>
      <c r="L26" s="193"/>
      <c r="M26" s="193"/>
      <c r="N26" s="193"/>
      <c r="O26" s="193"/>
      <c r="P26" s="193"/>
      <c r="Q26" s="193"/>
      <c r="R26" s="193"/>
      <c r="S26" s="193"/>
    </row>
    <row r="27" customFormat="false" ht="24.75" hidden="false" customHeight="true" outlineLevel="0" collapsed="false">
      <c r="C27" s="196"/>
      <c r="D27" s="42"/>
      <c r="E27" s="42"/>
      <c r="F27" s="187"/>
      <c r="K27" s="191" t="str">
        <f aca="false">공사정보_출력X!E13</f>
        <v>010-1234-5678</v>
      </c>
      <c r="L27" s="191"/>
      <c r="M27" s="191"/>
      <c r="N27" s="191"/>
      <c r="O27" s="191"/>
      <c r="P27" s="191"/>
      <c r="Q27" s="191"/>
      <c r="R27" s="191"/>
      <c r="S27" s="191"/>
    </row>
    <row r="28" customFormat="false" ht="4.5" hidden="false" customHeight="true" outlineLevel="0" collapsed="false">
      <c r="C28" s="196"/>
      <c r="D28" s="42"/>
      <c r="E28" s="42"/>
      <c r="F28" s="187"/>
      <c r="K28" s="348"/>
      <c r="L28" s="251"/>
      <c r="M28" s="251"/>
      <c r="N28" s="251"/>
      <c r="O28" s="251"/>
      <c r="P28" s="251"/>
      <c r="Q28" s="251"/>
      <c r="R28" s="251"/>
      <c r="S28" s="349"/>
    </row>
    <row r="29" customFormat="false" ht="16.5" hidden="false" customHeight="true" outlineLevel="0" collapsed="false">
      <c r="C29" s="196"/>
      <c r="D29" s="42"/>
      <c r="E29" s="42"/>
      <c r="F29" s="187"/>
      <c r="K29" s="350" t="s">
        <v>609</v>
      </c>
      <c r="S29" s="351"/>
    </row>
    <row r="30" customFormat="false" ht="16.5" hidden="false" customHeight="true" outlineLevel="0" collapsed="false">
      <c r="C30" s="196"/>
      <c r="D30" s="42"/>
      <c r="E30" s="42"/>
      <c r="F30" s="187"/>
      <c r="K30" s="350" t="s">
        <v>610</v>
      </c>
      <c r="S30" s="351"/>
    </row>
    <row r="31" customFormat="false" ht="16.5" hidden="false" customHeight="true" outlineLevel="0" collapsed="false">
      <c r="C31" s="196"/>
      <c r="D31" s="42"/>
      <c r="E31" s="42"/>
      <c r="F31" s="187"/>
      <c r="K31" s="350" t="s">
        <v>611</v>
      </c>
      <c r="S31" s="351"/>
    </row>
    <row r="32" customFormat="false" ht="16.5" hidden="false" customHeight="true" outlineLevel="0" collapsed="false">
      <c r="C32" s="196"/>
      <c r="D32" s="42"/>
      <c r="E32" s="42"/>
      <c r="F32" s="187"/>
      <c r="K32" s="350" t="s">
        <v>612</v>
      </c>
      <c r="S32" s="351"/>
    </row>
    <row r="33" customFormat="false" ht="4.5" hidden="false" customHeight="true" outlineLevel="0" collapsed="false">
      <c r="C33" s="196"/>
      <c r="D33" s="42"/>
      <c r="E33" s="42"/>
      <c r="F33" s="187"/>
      <c r="K33" s="352"/>
      <c r="L33" s="353"/>
      <c r="M33" s="353"/>
      <c r="N33" s="353"/>
      <c r="O33" s="353"/>
      <c r="P33" s="353"/>
      <c r="Q33" s="353"/>
      <c r="R33" s="353"/>
      <c r="S33" s="354"/>
    </row>
    <row r="34" customFormat="false" ht="24.75" hidden="false" customHeight="true" outlineLevel="0" collapsed="false">
      <c r="C34" s="196"/>
      <c r="D34" s="42"/>
      <c r="E34" s="42"/>
      <c r="F34" s="187"/>
    </row>
    <row r="35" customFormat="false" ht="24.75" hidden="false" customHeight="true" outlineLevel="0" collapsed="false">
      <c r="C35" s="196"/>
      <c r="D35" s="42"/>
      <c r="E35" s="42"/>
      <c r="F35" s="187"/>
      <c r="K35" s="192" t="s">
        <v>613</v>
      </c>
      <c r="L35" s="192"/>
      <c r="M35" s="192"/>
      <c r="N35" s="192"/>
      <c r="O35" s="192"/>
      <c r="P35" s="192"/>
      <c r="Q35" s="192"/>
      <c r="R35" s="192"/>
      <c r="S35" s="192"/>
    </row>
    <row r="36" customFormat="false" ht="24.75" hidden="false" customHeight="true" outlineLevel="0" collapsed="false">
      <c r="C36" s="196"/>
      <c r="D36" s="42"/>
      <c r="E36" s="42"/>
      <c r="F36" s="187"/>
      <c r="K36" s="193" t="str">
        <f aca="false">공사정보_출력X!C13</f>
        <v>홍길동</v>
      </c>
      <c r="L36" s="193"/>
      <c r="M36" s="193"/>
      <c r="N36" s="193"/>
      <c r="O36" s="193"/>
      <c r="P36" s="193"/>
      <c r="Q36" s="193"/>
      <c r="R36" s="193"/>
      <c r="S36" s="193"/>
    </row>
    <row r="37" customFormat="false" ht="4.5" hidden="false" customHeight="true" outlineLevel="0" collapsed="false">
      <c r="C37" s="196"/>
      <c r="D37" s="42"/>
      <c r="E37" s="42"/>
      <c r="F37" s="187"/>
      <c r="K37" s="348"/>
      <c r="L37" s="251"/>
      <c r="M37" s="251"/>
      <c r="N37" s="251"/>
      <c r="O37" s="251"/>
      <c r="P37" s="251"/>
      <c r="Q37" s="251"/>
      <c r="R37" s="251"/>
      <c r="S37" s="349"/>
    </row>
    <row r="38" customFormat="false" ht="16.5" hidden="false" customHeight="true" outlineLevel="0" collapsed="false">
      <c r="C38" s="196"/>
      <c r="D38" s="42"/>
      <c r="E38" s="42"/>
      <c r="F38" s="187"/>
      <c r="K38" s="355" t="s">
        <v>614</v>
      </c>
      <c r="S38" s="351"/>
    </row>
    <row r="39" customFormat="false" ht="16.5" hidden="false" customHeight="true" outlineLevel="0" collapsed="false">
      <c r="C39" s="196"/>
      <c r="D39" s="42"/>
      <c r="E39" s="42"/>
      <c r="F39" s="187"/>
      <c r="K39" s="355" t="s">
        <v>615</v>
      </c>
      <c r="S39" s="351"/>
    </row>
    <row r="40" customFormat="false" ht="16.5" hidden="false" customHeight="true" outlineLevel="0" collapsed="false">
      <c r="C40" s="196"/>
      <c r="D40" s="42"/>
      <c r="E40" s="42"/>
      <c r="F40" s="187"/>
      <c r="K40" s="355" t="s">
        <v>616</v>
      </c>
      <c r="S40" s="351"/>
    </row>
    <row r="41" customFormat="false" ht="16.5" hidden="false" customHeight="true" outlineLevel="0" collapsed="false">
      <c r="C41" s="196"/>
      <c r="D41" s="42"/>
      <c r="E41" s="42"/>
      <c r="F41" s="187"/>
      <c r="K41" s="355" t="s">
        <v>617</v>
      </c>
      <c r="S41" s="351"/>
    </row>
    <row r="42" customFormat="false" ht="4.5" hidden="false" customHeight="true" outlineLevel="0" collapsed="false">
      <c r="C42" s="196"/>
      <c r="D42" s="42"/>
      <c r="E42" s="42"/>
      <c r="F42" s="187"/>
      <c r="K42" s="352"/>
      <c r="L42" s="353"/>
      <c r="M42" s="353"/>
      <c r="N42" s="353"/>
      <c r="O42" s="353"/>
      <c r="P42" s="353"/>
      <c r="Q42" s="353"/>
      <c r="R42" s="353"/>
      <c r="S42" s="354"/>
    </row>
    <row r="43" customFormat="false" ht="24.75" hidden="false" customHeight="true" outlineLevel="0" collapsed="false">
      <c r="C43" s="196"/>
      <c r="D43" s="42"/>
      <c r="E43" s="42"/>
      <c r="F43" s="42"/>
    </row>
    <row r="44" customFormat="false" ht="15" hidden="false" customHeight="true" outlineLevel="0" collapsed="false">
      <c r="C44" s="196"/>
      <c r="D44" s="42"/>
      <c r="E44" s="42"/>
      <c r="F44" s="42"/>
    </row>
    <row r="45" customFormat="false" ht="15" hidden="false" customHeight="true" outlineLevel="0" collapsed="false">
      <c r="B45" s="172" t="s">
        <v>618</v>
      </c>
      <c r="C45" s="196"/>
      <c r="D45" s="42"/>
      <c r="E45" s="42"/>
      <c r="F45" s="42"/>
    </row>
    <row r="46" customFormat="false" ht="5.25" hidden="false" customHeight="true" outlineLevel="0" collapsed="false">
      <c r="C46" s="196"/>
      <c r="D46" s="42"/>
      <c r="E46" s="42"/>
      <c r="F46" s="42"/>
    </row>
    <row r="47" customFormat="false" ht="19.5" hidden="false" customHeight="true" outlineLevel="0" collapsed="false">
      <c r="D47" s="227" t="s">
        <v>221</v>
      </c>
      <c r="E47" s="228" t="s">
        <v>222</v>
      </c>
      <c r="F47" s="228"/>
      <c r="G47" s="228"/>
      <c r="H47" s="229" t="s">
        <v>223</v>
      </c>
      <c r="I47" s="229"/>
      <c r="J47" s="229"/>
      <c r="K47" s="229"/>
      <c r="L47" s="230" t="s">
        <v>619</v>
      </c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28" t="s">
        <v>225</v>
      </c>
      <c r="X47" s="228"/>
      <c r="Y47" s="228"/>
    </row>
    <row r="48" customFormat="false" ht="34.5" hidden="false" customHeight="true" outlineLevel="0" collapsed="false">
      <c r="D48" s="231" t="n">
        <v>1</v>
      </c>
      <c r="E48" s="232" t="s">
        <v>620</v>
      </c>
      <c r="F48" s="232"/>
      <c r="G48" s="232"/>
      <c r="H48" s="232" t="s">
        <v>227</v>
      </c>
      <c r="I48" s="232"/>
      <c r="J48" s="232"/>
      <c r="K48" s="232"/>
      <c r="L48" s="234" t="s">
        <v>621</v>
      </c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2"/>
      <c r="X48" s="232"/>
      <c r="Y48" s="232"/>
    </row>
    <row r="49" customFormat="false" ht="34.5" hidden="false" customHeight="true" outlineLevel="0" collapsed="false">
      <c r="D49" s="235" t="n">
        <v>2</v>
      </c>
      <c r="E49" s="236" t="s">
        <v>622</v>
      </c>
      <c r="F49" s="236"/>
      <c r="G49" s="236"/>
      <c r="H49" s="237" t="s">
        <v>230</v>
      </c>
      <c r="I49" s="237"/>
      <c r="J49" s="237"/>
      <c r="K49" s="237"/>
      <c r="L49" s="238" t="s">
        <v>623</v>
      </c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6"/>
      <c r="X49" s="236"/>
      <c r="Y49" s="236"/>
    </row>
    <row r="50" customFormat="false" ht="34.5" hidden="false" customHeight="true" outlineLevel="0" collapsed="false">
      <c r="D50" s="235" t="n">
        <v>3</v>
      </c>
      <c r="E50" s="236" t="s">
        <v>624</v>
      </c>
      <c r="F50" s="236"/>
      <c r="G50" s="236"/>
      <c r="H50" s="239" t="s">
        <v>233</v>
      </c>
      <c r="I50" s="239"/>
      <c r="J50" s="239"/>
      <c r="K50" s="239"/>
      <c r="L50" s="238" t="s">
        <v>234</v>
      </c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6"/>
      <c r="X50" s="236"/>
      <c r="Y50" s="236"/>
    </row>
    <row r="51" customFormat="false" ht="34.5" hidden="false" customHeight="true" outlineLevel="0" collapsed="false">
      <c r="D51" s="235" t="n">
        <v>4</v>
      </c>
      <c r="E51" s="236" t="s">
        <v>625</v>
      </c>
      <c r="F51" s="236"/>
      <c r="G51" s="236"/>
      <c r="H51" s="239" t="s">
        <v>236</v>
      </c>
      <c r="I51" s="239"/>
      <c r="J51" s="239"/>
      <c r="K51" s="239"/>
      <c r="L51" s="238" t="s">
        <v>237</v>
      </c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6"/>
      <c r="X51" s="236"/>
      <c r="Y51" s="236"/>
    </row>
    <row r="52" customFormat="false" ht="34.5" hidden="false" customHeight="true" outlineLevel="0" collapsed="false">
      <c r="D52" s="240" t="n">
        <v>5</v>
      </c>
      <c r="E52" s="241" t="s">
        <v>626</v>
      </c>
      <c r="F52" s="241"/>
      <c r="G52" s="241"/>
      <c r="H52" s="242" t="s">
        <v>239</v>
      </c>
      <c r="I52" s="242"/>
      <c r="J52" s="242"/>
      <c r="K52" s="242"/>
      <c r="L52" s="243" t="s">
        <v>240</v>
      </c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1"/>
      <c r="X52" s="241"/>
      <c r="Y52" s="241"/>
    </row>
    <row r="53" customFormat="false" ht="15" hidden="false" customHeight="true" outlineLevel="0" collapsed="false">
      <c r="D53" s="244"/>
      <c r="E53" s="244"/>
      <c r="F53" s="206"/>
      <c r="G53" s="206"/>
      <c r="H53" s="245"/>
      <c r="I53" s="245"/>
      <c r="J53" s="245"/>
      <c r="K53" s="24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244"/>
      <c r="X53" s="244"/>
      <c r="Y53" s="244"/>
    </row>
    <row r="54" customFormat="false" ht="15" hidden="false" customHeight="true" outlineLevel="0" collapsed="false">
      <c r="B54" s="172" t="s">
        <v>627</v>
      </c>
      <c r="C54" s="196"/>
      <c r="D54" s="42"/>
      <c r="E54" s="42"/>
      <c r="F54" s="42"/>
    </row>
    <row r="55" customFormat="false" ht="15" hidden="false" customHeight="true" outlineLevel="0" collapsed="false">
      <c r="C55" s="196" t="s">
        <v>628</v>
      </c>
      <c r="D55" s="42"/>
      <c r="E55" s="42"/>
      <c r="F55" s="42"/>
    </row>
    <row r="56" customFormat="false" ht="15" hidden="false" customHeight="true" outlineLevel="0" collapsed="false">
      <c r="C56" s="196" t="s">
        <v>629</v>
      </c>
      <c r="D56" s="42"/>
      <c r="E56" s="42"/>
      <c r="F56" s="42"/>
    </row>
    <row r="57" customFormat="false" ht="15" hidden="false" customHeight="true" outlineLevel="0" collapsed="false">
      <c r="C57" s="196" t="s">
        <v>630</v>
      </c>
      <c r="D57" s="42"/>
      <c r="E57" s="42"/>
      <c r="F57" s="42"/>
    </row>
    <row r="58" customFormat="false" ht="15" hidden="false" customHeight="true" outlineLevel="0" collapsed="false">
      <c r="C58" s="196" t="s">
        <v>631</v>
      </c>
      <c r="D58" s="42"/>
      <c r="E58" s="42"/>
      <c r="F58" s="42"/>
    </row>
    <row r="59" customFormat="false" ht="15" hidden="false" customHeight="true" outlineLevel="0" collapsed="false">
      <c r="C59" s="196" t="s">
        <v>632</v>
      </c>
      <c r="D59" s="42"/>
      <c r="E59" s="42"/>
      <c r="F59" s="42"/>
    </row>
    <row r="60" customFormat="false" ht="4.5" hidden="false" customHeight="true" outlineLevel="0" collapsed="false">
      <c r="C60" s="196"/>
      <c r="D60" s="42"/>
      <c r="E60" s="42"/>
      <c r="F60" s="42"/>
    </row>
    <row r="61" customFormat="false" ht="15" hidden="false" customHeight="true" outlineLevel="0" collapsed="false">
      <c r="C61" s="186" t="s">
        <v>633</v>
      </c>
      <c r="D61" s="42"/>
      <c r="E61" s="42"/>
      <c r="F61" s="42"/>
    </row>
    <row r="62" customFormat="false" ht="15" hidden="false" customHeight="true" outlineLevel="0" collapsed="false">
      <c r="C62" s="42"/>
      <c r="D62" s="196" t="s">
        <v>634</v>
      </c>
      <c r="E62" s="42"/>
      <c r="F62" s="42"/>
    </row>
    <row r="63" customFormat="false" ht="15" hidden="false" customHeight="true" outlineLevel="0" collapsed="false">
      <c r="C63" s="42"/>
      <c r="D63" s="196" t="s">
        <v>635</v>
      </c>
      <c r="E63" s="42"/>
      <c r="F63" s="42"/>
    </row>
    <row r="64" customFormat="false" ht="15" hidden="false" customHeight="true" outlineLevel="0" collapsed="false">
      <c r="C64" s="42"/>
      <c r="D64" s="196" t="s">
        <v>636</v>
      </c>
      <c r="E64" s="42"/>
      <c r="F64" s="42"/>
    </row>
    <row r="65" customFormat="false" ht="15" hidden="false" customHeight="true" outlineLevel="0" collapsed="false">
      <c r="C65" s="42"/>
      <c r="D65" s="196" t="s">
        <v>637</v>
      </c>
      <c r="E65" s="42"/>
      <c r="F65" s="42"/>
    </row>
    <row r="66" customFormat="false" ht="15" hidden="false" customHeight="true" outlineLevel="0" collapsed="false">
      <c r="C66" s="42"/>
      <c r="D66" s="196" t="s">
        <v>638</v>
      </c>
      <c r="E66" s="42"/>
      <c r="F66" s="42"/>
    </row>
    <row r="67" customFormat="false" ht="4.5" hidden="false" customHeight="true" outlineLevel="0" collapsed="false">
      <c r="C67" s="42"/>
      <c r="D67" s="196"/>
      <c r="E67" s="42"/>
      <c r="F67" s="42"/>
    </row>
    <row r="68" customFormat="false" ht="15" hidden="false" customHeight="true" outlineLevel="0" collapsed="false">
      <c r="B68" s="196"/>
      <c r="C68" s="173" t="s">
        <v>639</v>
      </c>
      <c r="D68" s="42"/>
      <c r="E68" s="42"/>
      <c r="F68" s="42"/>
    </row>
    <row r="69" customFormat="false" ht="15" hidden="false" customHeight="true" outlineLevel="0" collapsed="false">
      <c r="C69" s="42"/>
      <c r="D69" s="196" t="s">
        <v>640</v>
      </c>
      <c r="E69" s="42"/>
      <c r="F69" s="42"/>
    </row>
    <row r="70" customFormat="false" ht="15" hidden="false" customHeight="true" outlineLevel="0" collapsed="false">
      <c r="C70" s="42"/>
      <c r="D70" s="196" t="s">
        <v>641</v>
      </c>
      <c r="E70" s="42"/>
      <c r="F70" s="42"/>
    </row>
    <row r="71" customFormat="false" ht="15" hidden="false" customHeight="true" outlineLevel="0" collapsed="false">
      <c r="C71" s="42"/>
      <c r="D71" s="197" t="s">
        <v>642</v>
      </c>
      <c r="E71" s="42"/>
      <c r="F71" s="42"/>
    </row>
    <row r="72" customFormat="false" ht="15" hidden="false" customHeight="true" outlineLevel="0" collapsed="false">
      <c r="C72" s="42"/>
      <c r="D72" s="196" t="s">
        <v>643</v>
      </c>
      <c r="E72" s="42"/>
      <c r="F72" s="42"/>
    </row>
    <row r="73" customFormat="false" ht="15" hidden="false" customHeight="true" outlineLevel="0" collapsed="false">
      <c r="C73" s="42"/>
      <c r="D73" s="196" t="s">
        <v>644</v>
      </c>
      <c r="E73" s="42"/>
      <c r="F73" s="42"/>
    </row>
    <row r="74" customFormat="false" ht="15" hidden="false" customHeight="true" outlineLevel="0" collapsed="false">
      <c r="C74" s="42"/>
      <c r="D74" s="197" t="s">
        <v>645</v>
      </c>
      <c r="E74" s="42"/>
      <c r="F74" s="42"/>
    </row>
    <row r="75" customFormat="false" ht="4.5" hidden="false" customHeight="true" outlineLevel="0" collapsed="false">
      <c r="C75" s="42"/>
      <c r="D75" s="197"/>
      <c r="E75" s="42"/>
      <c r="F75" s="42"/>
    </row>
    <row r="76" customFormat="false" ht="15" hidden="false" customHeight="true" outlineLevel="0" collapsed="false">
      <c r="B76" s="196"/>
      <c r="C76" s="173" t="s">
        <v>646</v>
      </c>
      <c r="D76" s="42"/>
      <c r="E76" s="42"/>
      <c r="F76" s="42"/>
    </row>
    <row r="77" customFormat="false" ht="15" hidden="false" customHeight="true" outlineLevel="0" collapsed="false">
      <c r="C77" s="42"/>
      <c r="D77" s="196" t="s">
        <v>647</v>
      </c>
      <c r="E77" s="42"/>
      <c r="F77" s="42"/>
    </row>
    <row r="78" customFormat="false" ht="15" hidden="false" customHeight="true" outlineLevel="0" collapsed="false">
      <c r="C78" s="42"/>
      <c r="D78" s="197" t="s">
        <v>648</v>
      </c>
      <c r="E78" s="42"/>
      <c r="F78" s="42"/>
    </row>
    <row r="79" customFormat="false" ht="15" hidden="false" customHeight="true" outlineLevel="0" collapsed="false">
      <c r="C79" s="42"/>
      <c r="D79" s="196" t="s">
        <v>649</v>
      </c>
      <c r="E79" s="42"/>
      <c r="F79" s="42"/>
    </row>
    <row r="80" customFormat="false" ht="15" hidden="false" customHeight="true" outlineLevel="0" collapsed="false">
      <c r="C80" s="42"/>
      <c r="D80" s="197" t="s">
        <v>650</v>
      </c>
      <c r="E80" s="42"/>
      <c r="F80" s="42"/>
    </row>
    <row r="81" customFormat="false" ht="15" hidden="false" customHeight="true" outlineLevel="0" collapsed="false">
      <c r="C81" s="42"/>
      <c r="D81" s="356" t="s">
        <v>651</v>
      </c>
      <c r="E81" s="357"/>
      <c r="F81" s="357"/>
    </row>
    <row r="82" customFormat="false" ht="15" hidden="false" customHeight="true" outlineLevel="0" collapsed="false">
      <c r="C82" s="42"/>
      <c r="D82" s="358" t="s">
        <v>652</v>
      </c>
      <c r="E82" s="357"/>
      <c r="F82" s="357"/>
    </row>
    <row r="83" customFormat="false" ht="15" hidden="false" customHeight="true" outlineLevel="0" collapsed="false">
      <c r="C83" s="42"/>
      <c r="D83" s="356" t="s">
        <v>653</v>
      </c>
      <c r="E83" s="357"/>
      <c r="F83" s="357"/>
    </row>
    <row r="84" customFormat="false" ht="15" hidden="false" customHeight="true" outlineLevel="0" collapsed="false">
      <c r="C84" s="42"/>
      <c r="D84" s="356" t="s">
        <v>654</v>
      </c>
      <c r="E84" s="357"/>
      <c r="F84" s="357"/>
    </row>
    <row r="85" customFormat="false" ht="15" hidden="false" customHeight="true" outlineLevel="0" collapsed="false">
      <c r="C85" s="42"/>
      <c r="D85" s="358" t="s">
        <v>655</v>
      </c>
      <c r="E85" s="357"/>
      <c r="F85" s="357"/>
    </row>
    <row r="86" customFormat="false" ht="15" hidden="false" customHeight="true" outlineLevel="0" collapsed="false">
      <c r="C86" s="42"/>
      <c r="D86" s="196" t="s">
        <v>656</v>
      </c>
      <c r="E86" s="42"/>
      <c r="F86" s="42"/>
    </row>
    <row r="87" customFormat="false" ht="15" hidden="false" customHeight="true" outlineLevel="0" collapsed="false">
      <c r="C87" s="42"/>
      <c r="D87" s="197" t="s">
        <v>657</v>
      </c>
      <c r="E87" s="42"/>
      <c r="F87" s="42"/>
    </row>
    <row r="88" customFormat="false" ht="15" hidden="false" customHeight="true" outlineLevel="0" collapsed="false">
      <c r="C88" s="42"/>
      <c r="D88" s="197"/>
      <c r="E88" s="42"/>
      <c r="F88" s="42"/>
    </row>
    <row r="89" customFormat="false" ht="15" hidden="false" customHeight="true" outlineLevel="0" collapsed="false">
      <c r="C89" s="42"/>
      <c r="D89" s="197"/>
      <c r="E89" s="42"/>
      <c r="F89" s="42"/>
    </row>
    <row r="90" customFormat="false" ht="15" hidden="false" customHeight="true" outlineLevel="0" collapsed="false">
      <c r="C90" s="186" t="s">
        <v>658</v>
      </c>
      <c r="D90" s="42"/>
      <c r="E90" s="42"/>
      <c r="F90" s="42"/>
    </row>
    <row r="91" customFormat="false" ht="15" hidden="false" customHeight="true" outlineLevel="0" collapsed="false">
      <c r="D91" s="196" t="s">
        <v>659</v>
      </c>
      <c r="E91" s="42"/>
      <c r="F91" s="42"/>
    </row>
    <row r="92" customFormat="false" ht="15" hidden="false" customHeight="true" outlineLevel="0" collapsed="false">
      <c r="D92" s="196" t="s">
        <v>660</v>
      </c>
      <c r="E92" s="42"/>
      <c r="F92" s="42"/>
    </row>
    <row r="93" customFormat="false" ht="15" hidden="false" customHeight="true" outlineLevel="0" collapsed="false">
      <c r="D93" s="196" t="s">
        <v>661</v>
      </c>
      <c r="E93" s="42"/>
      <c r="F93" s="42"/>
    </row>
    <row r="94" customFormat="false" ht="15" hidden="false" customHeight="true" outlineLevel="0" collapsed="false">
      <c r="D94" s="197" t="s">
        <v>662</v>
      </c>
      <c r="E94" s="42"/>
      <c r="F94" s="42"/>
    </row>
    <row r="95" customFormat="false" ht="15" hidden="false" customHeight="true" outlineLevel="0" collapsed="false">
      <c r="D95" s="196" t="s">
        <v>663</v>
      </c>
      <c r="E95" s="42"/>
      <c r="F95" s="42"/>
    </row>
    <row r="96" customFormat="false" ht="15" hidden="false" customHeight="true" outlineLevel="0" collapsed="false">
      <c r="D96" s="197" t="s">
        <v>664</v>
      </c>
      <c r="E96" s="42"/>
      <c r="F96" s="42"/>
    </row>
    <row r="97" customFormat="false" ht="15" hidden="false" customHeight="true" outlineLevel="0" collapsed="false">
      <c r="D97" s="196" t="s">
        <v>665</v>
      </c>
      <c r="E97" s="42"/>
      <c r="F97" s="42"/>
    </row>
    <row r="98" customFormat="false" ht="15" hidden="false" customHeight="true" outlineLevel="0" collapsed="false">
      <c r="D98" s="197" t="s">
        <v>666</v>
      </c>
      <c r="E98" s="42"/>
      <c r="F98" s="42"/>
    </row>
    <row r="99" customFormat="false" ht="15" hidden="false" customHeight="true" outlineLevel="0" collapsed="false">
      <c r="D99" s="196" t="s">
        <v>667</v>
      </c>
      <c r="E99" s="42"/>
      <c r="F99" s="42"/>
    </row>
    <row r="100" customFormat="false" ht="15" hidden="false" customHeight="true" outlineLevel="0" collapsed="false">
      <c r="D100" s="197" t="s">
        <v>668</v>
      </c>
      <c r="E100" s="42"/>
      <c r="F100" s="42"/>
    </row>
    <row r="101" customFormat="false" ht="15" hidden="false" customHeight="true" outlineLevel="0" collapsed="false">
      <c r="D101" s="197" t="s">
        <v>669</v>
      </c>
      <c r="E101" s="81"/>
      <c r="F101" s="42"/>
    </row>
    <row r="102" customFormat="false" ht="15" hidden="false" customHeight="true" outlineLevel="0" collapsed="false">
      <c r="D102" s="197" t="s">
        <v>670</v>
      </c>
      <c r="E102" s="81"/>
      <c r="F102" s="42"/>
    </row>
    <row r="103" customFormat="false" ht="15" hidden="false" customHeight="true" outlineLevel="0" collapsed="false">
      <c r="D103" s="197" t="s">
        <v>671</v>
      </c>
      <c r="E103" s="81"/>
      <c r="F103" s="42"/>
    </row>
    <row r="104" customFormat="false" ht="15" hidden="false" customHeight="true" outlineLevel="0" collapsed="false">
      <c r="D104" s="197" t="s">
        <v>672</v>
      </c>
      <c r="E104" s="81"/>
      <c r="F104" s="42"/>
    </row>
    <row r="105" customFormat="false" ht="15" hidden="false" customHeight="true" outlineLevel="0" collapsed="false">
      <c r="D105" s="197" t="s">
        <v>673</v>
      </c>
      <c r="E105" s="81"/>
      <c r="F105" s="42"/>
    </row>
    <row r="106" customFormat="false" ht="15" hidden="false" customHeight="true" outlineLevel="0" collapsed="false">
      <c r="D106" s="197" t="s">
        <v>674</v>
      </c>
      <c r="E106" s="81"/>
      <c r="F106" s="42"/>
    </row>
    <row r="107" customFormat="false" ht="15" hidden="false" customHeight="true" outlineLevel="0" collapsed="false">
      <c r="D107" s="196" t="s">
        <v>675</v>
      </c>
      <c r="E107" s="42"/>
      <c r="F107" s="42"/>
    </row>
    <row r="108" customFormat="false" ht="15" hidden="false" customHeight="true" outlineLevel="0" collapsed="false">
      <c r="D108" s="197" t="s">
        <v>676</v>
      </c>
      <c r="E108" s="42"/>
      <c r="F108" s="42"/>
    </row>
    <row r="109" customFormat="false" ht="15" hidden="false" customHeight="true" outlineLevel="0" collapsed="false">
      <c r="D109" s="197"/>
      <c r="E109" s="42"/>
      <c r="F109" s="42"/>
    </row>
    <row r="110" customFormat="false" ht="15" hidden="false" customHeight="true" outlineLevel="0" collapsed="false">
      <c r="C110" s="186" t="s">
        <v>677</v>
      </c>
      <c r="D110" s="42"/>
      <c r="E110" s="42"/>
      <c r="F110" s="42"/>
    </row>
    <row r="111" customFormat="false" ht="15" hidden="false" customHeight="true" outlineLevel="0" collapsed="false">
      <c r="C111" s="42"/>
      <c r="D111" s="196" t="s">
        <v>678</v>
      </c>
      <c r="E111" s="42"/>
      <c r="F111" s="42"/>
    </row>
    <row r="112" customFormat="false" ht="15" hidden="false" customHeight="true" outlineLevel="0" collapsed="false">
      <c r="C112" s="42"/>
      <c r="D112" s="197" t="s">
        <v>173</v>
      </c>
      <c r="E112" s="42"/>
      <c r="F112" s="42"/>
    </row>
    <row r="113" customFormat="false" ht="15" hidden="false" customHeight="true" outlineLevel="0" collapsed="false">
      <c r="C113" s="42"/>
      <c r="D113" s="196" t="s">
        <v>679</v>
      </c>
      <c r="E113" s="42"/>
      <c r="F113" s="42"/>
    </row>
    <row r="114" customFormat="false" ht="15" hidden="false" customHeight="true" outlineLevel="0" collapsed="false">
      <c r="C114" s="42"/>
      <c r="D114" s="197" t="s">
        <v>680</v>
      </c>
      <c r="E114" s="42"/>
      <c r="F114" s="42"/>
    </row>
    <row r="115" customFormat="false" ht="15" hidden="false" customHeight="true" outlineLevel="0" collapsed="false">
      <c r="C115" s="42"/>
      <c r="E115" s="196" t="s">
        <v>681</v>
      </c>
      <c r="F115" s="42"/>
    </row>
    <row r="116" customFormat="false" ht="15" hidden="false" customHeight="true" outlineLevel="0" collapsed="false">
      <c r="C116" s="42"/>
      <c r="E116" s="197" t="s">
        <v>682</v>
      </c>
      <c r="F116" s="42"/>
    </row>
    <row r="117" customFormat="false" ht="15" hidden="false" customHeight="true" outlineLevel="0" collapsed="false">
      <c r="C117" s="42"/>
      <c r="E117" s="196" t="s">
        <v>683</v>
      </c>
      <c r="F117" s="42"/>
    </row>
    <row r="118" customFormat="false" ht="15" hidden="false" customHeight="true" outlineLevel="0" collapsed="false">
      <c r="C118" s="42"/>
      <c r="E118" s="196" t="s">
        <v>684</v>
      </c>
      <c r="F118" s="42"/>
    </row>
    <row r="119" customFormat="false" ht="15" hidden="false" customHeight="true" outlineLevel="0" collapsed="false">
      <c r="C119" s="42"/>
      <c r="E119" s="196" t="s">
        <v>685</v>
      </c>
      <c r="F119" s="42"/>
    </row>
    <row r="120" customFormat="false" ht="15" hidden="false" customHeight="true" outlineLevel="0" collapsed="false">
      <c r="C120" s="42"/>
      <c r="D120" s="196" t="s">
        <v>686</v>
      </c>
      <c r="E120" s="42"/>
      <c r="F120" s="42"/>
    </row>
    <row r="121" customFormat="false" ht="15" hidden="false" customHeight="true" outlineLevel="0" collapsed="false">
      <c r="C121" s="42"/>
      <c r="D121" s="196" t="s">
        <v>687</v>
      </c>
      <c r="E121" s="42"/>
      <c r="F121" s="42"/>
    </row>
    <row r="122" customFormat="false" ht="15" hidden="false" customHeight="true" outlineLevel="0" collapsed="false">
      <c r="C122" s="42"/>
      <c r="D122" s="196" t="s">
        <v>688</v>
      </c>
      <c r="E122" s="42"/>
      <c r="F122" s="42"/>
    </row>
    <row r="123" customFormat="false" ht="15" hidden="false" customHeight="true" outlineLevel="0" collapsed="false">
      <c r="C123" s="42"/>
      <c r="D123" s="196"/>
      <c r="E123" s="42"/>
      <c r="F123" s="42"/>
    </row>
    <row r="124" customFormat="false" ht="15" hidden="false" customHeight="true" outlineLevel="0" collapsed="false">
      <c r="C124" s="186" t="s">
        <v>689</v>
      </c>
      <c r="E124" s="42"/>
      <c r="F124" s="42"/>
    </row>
    <row r="125" customFormat="false" ht="15" hidden="false" customHeight="true" outlineLevel="0" collapsed="false">
      <c r="C125" s="42"/>
      <c r="D125" s="196" t="s">
        <v>690</v>
      </c>
      <c r="E125" s="42"/>
      <c r="F125" s="42"/>
    </row>
    <row r="126" customFormat="false" ht="15" hidden="false" customHeight="true" outlineLevel="0" collapsed="false">
      <c r="C126" s="42"/>
      <c r="D126" s="196" t="s">
        <v>691</v>
      </c>
      <c r="E126" s="42"/>
      <c r="F126" s="42"/>
    </row>
    <row r="127" customFormat="false" ht="15" hidden="false" customHeight="true" outlineLevel="0" collapsed="false">
      <c r="C127" s="42"/>
      <c r="D127" s="196" t="s">
        <v>692</v>
      </c>
      <c r="E127" s="42"/>
      <c r="F127" s="42"/>
    </row>
    <row r="128" customFormat="false" ht="15" hidden="false" customHeight="true" outlineLevel="0" collapsed="false">
      <c r="C128" s="42"/>
      <c r="D128" s="196" t="s">
        <v>693</v>
      </c>
      <c r="E128" s="42"/>
      <c r="F128" s="42"/>
    </row>
    <row r="129" customFormat="false" ht="15" hidden="false" customHeight="true" outlineLevel="0" collapsed="false">
      <c r="C129" s="42"/>
      <c r="D129" s="196"/>
      <c r="E129" s="42"/>
      <c r="F129" s="42"/>
    </row>
    <row r="130" customFormat="false" ht="15" hidden="false" customHeight="true" outlineLevel="0" collapsed="false">
      <c r="C130" s="42"/>
      <c r="D130" s="196"/>
      <c r="E130" s="42"/>
      <c r="F130" s="42"/>
    </row>
    <row r="131" customFormat="false" ht="15" hidden="false" customHeight="true" outlineLevel="0" collapsed="false">
      <c r="C131" s="42"/>
      <c r="D131" s="196"/>
      <c r="E131" s="42"/>
      <c r="F131" s="42"/>
    </row>
    <row r="132" customFormat="false" ht="15" hidden="false" customHeight="true" outlineLevel="0" collapsed="false">
      <c r="C132" s="42"/>
      <c r="D132" s="196"/>
      <c r="E132" s="42"/>
      <c r="F132" s="42"/>
    </row>
    <row r="133" customFormat="false" ht="15" hidden="false" customHeight="true" outlineLevel="0" collapsed="false">
      <c r="C133" s="42"/>
      <c r="D133" s="196"/>
      <c r="E133" s="42"/>
      <c r="F133" s="42"/>
    </row>
    <row r="134" customFormat="false" ht="15" hidden="false" customHeight="true" outlineLevel="0" collapsed="false">
      <c r="C134" s="42"/>
      <c r="D134" s="196"/>
      <c r="E134" s="42"/>
      <c r="F134" s="42"/>
    </row>
    <row r="135" customFormat="false" ht="15" hidden="false" customHeight="true" outlineLevel="0" collapsed="false">
      <c r="C135" s="42"/>
      <c r="D135" s="196"/>
      <c r="E135" s="42"/>
      <c r="F135" s="42"/>
    </row>
    <row r="136" customFormat="false" ht="15" hidden="false" customHeight="true" outlineLevel="0" collapsed="false">
      <c r="C136" s="42"/>
      <c r="D136" s="196"/>
      <c r="E136" s="42"/>
      <c r="F136" s="42"/>
    </row>
    <row r="137" customFormat="false" ht="15" hidden="false" customHeight="true" outlineLevel="0" collapsed="false">
      <c r="C137" s="42"/>
      <c r="D137" s="196"/>
      <c r="E137" s="42"/>
      <c r="F137" s="42"/>
    </row>
    <row r="138" customFormat="false" ht="15" hidden="false" customHeight="true" outlineLevel="0" collapsed="false">
      <c r="C138" s="42"/>
      <c r="D138" s="196"/>
      <c r="E138" s="42"/>
      <c r="F138" s="42"/>
    </row>
    <row r="139" customFormat="false" ht="15" hidden="false" customHeight="true" outlineLevel="0" collapsed="false">
      <c r="B139" s="172" t="s">
        <v>694</v>
      </c>
      <c r="C139" s="42"/>
      <c r="D139" s="42"/>
      <c r="E139" s="42"/>
      <c r="F139" s="42"/>
    </row>
    <row r="140" customFormat="false" ht="4.5" hidden="false" customHeight="true" outlineLevel="0" collapsed="false">
      <c r="B140" s="172"/>
      <c r="C140" s="42"/>
      <c r="D140" s="42"/>
      <c r="E140" s="42"/>
      <c r="F140" s="42"/>
    </row>
    <row r="141" customFormat="false" ht="15" hidden="false" customHeight="true" outlineLevel="0" collapsed="false">
      <c r="D141" s="196" t="s">
        <v>695</v>
      </c>
      <c r="E141" s="42"/>
      <c r="F141" s="42"/>
    </row>
    <row r="142" customFormat="false" ht="15" hidden="false" customHeight="true" outlineLevel="0" collapsed="false">
      <c r="D142" s="196" t="s">
        <v>696</v>
      </c>
      <c r="E142" s="42"/>
      <c r="F142" s="42"/>
    </row>
    <row r="143" customFormat="false" ht="15" hidden="false" customHeight="true" outlineLevel="0" collapsed="false">
      <c r="D143" s="196" t="s">
        <v>697</v>
      </c>
      <c r="E143" s="42"/>
      <c r="F143" s="42"/>
    </row>
    <row r="144" customFormat="false" ht="4.5" hidden="false" customHeight="true" outlineLevel="0" collapsed="false">
      <c r="D144" s="196"/>
      <c r="E144" s="42"/>
      <c r="F144" s="42"/>
    </row>
    <row r="145" customFormat="false" ht="15" hidden="false" customHeight="true" outlineLevel="0" collapsed="false">
      <c r="C145" s="186" t="s">
        <v>698</v>
      </c>
      <c r="D145" s="42"/>
      <c r="E145" s="42"/>
      <c r="F145" s="42"/>
    </row>
    <row r="146" customFormat="false" ht="15" hidden="false" customHeight="true" outlineLevel="0" collapsed="false">
      <c r="D146" s="196" t="s">
        <v>699</v>
      </c>
      <c r="E146" s="42"/>
      <c r="F146" s="42"/>
    </row>
    <row r="147" customFormat="false" ht="15" hidden="false" customHeight="true" outlineLevel="0" collapsed="false">
      <c r="D147" s="196" t="s">
        <v>700</v>
      </c>
      <c r="E147" s="42"/>
      <c r="F147" s="42"/>
    </row>
    <row r="148" customFormat="false" ht="4.5" hidden="false" customHeight="true" outlineLevel="0" collapsed="false">
      <c r="D148" s="196"/>
      <c r="E148" s="42"/>
      <c r="F148" s="42"/>
    </row>
    <row r="149" customFormat="false" ht="15" hidden="false" customHeight="true" outlineLevel="0" collapsed="false">
      <c r="C149" s="186" t="s">
        <v>701</v>
      </c>
      <c r="D149" s="42"/>
      <c r="E149" s="42"/>
      <c r="F149" s="42"/>
    </row>
    <row r="150" customFormat="false" ht="15" hidden="false" customHeight="true" outlineLevel="0" collapsed="false">
      <c r="D150" s="196" t="s">
        <v>702</v>
      </c>
      <c r="E150" s="42"/>
      <c r="F150" s="42"/>
    </row>
    <row r="151" customFormat="false" ht="15" hidden="false" customHeight="true" outlineLevel="0" collapsed="false">
      <c r="D151" s="196" t="s">
        <v>703</v>
      </c>
      <c r="E151" s="42"/>
      <c r="F151" s="42"/>
    </row>
    <row r="152" customFormat="false" ht="15" hidden="false" customHeight="true" outlineLevel="0" collapsed="false">
      <c r="D152" s="196" t="s">
        <v>704</v>
      </c>
      <c r="E152" s="42"/>
      <c r="F152" s="42"/>
    </row>
    <row r="153" customFormat="false" ht="16.5" hidden="false" customHeight="true" outlineLevel="0" collapsed="false">
      <c r="B153" s="196"/>
      <c r="C153" s="42"/>
      <c r="D153" s="42"/>
      <c r="E153" s="42"/>
      <c r="F153" s="42"/>
    </row>
    <row r="154" customFormat="false" ht="16.5" hidden="false" customHeight="true" outlineLevel="0" collapsed="false">
      <c r="B154" s="196"/>
      <c r="C154" s="42"/>
      <c r="D154" s="42"/>
      <c r="E154" s="42"/>
      <c r="F154" s="42"/>
    </row>
    <row r="155" customFormat="false" ht="16.5" hidden="false" customHeight="true" outlineLevel="0" collapsed="false">
      <c r="B155" s="196"/>
      <c r="C155" s="42"/>
      <c r="D155" s="42"/>
      <c r="E155" s="42"/>
      <c r="F155" s="42"/>
    </row>
    <row r="156" customFormat="false" ht="16.5" hidden="false" customHeight="true" outlineLevel="0" collapsed="false">
      <c r="B156" s="196"/>
      <c r="C156" s="42"/>
      <c r="D156" s="42"/>
      <c r="E156" s="42"/>
      <c r="F156" s="42"/>
    </row>
    <row r="157" customFormat="false" ht="16.5" hidden="false" customHeight="true" outlineLevel="0" collapsed="false">
      <c r="B157" s="196"/>
      <c r="C157" s="42"/>
      <c r="D157" s="42"/>
      <c r="E157" s="42"/>
      <c r="F157" s="42"/>
    </row>
    <row r="158" customFormat="false" ht="16.5" hidden="false" customHeight="true" outlineLevel="0" collapsed="false">
      <c r="B158" s="196"/>
      <c r="C158" s="42"/>
      <c r="D158" s="42"/>
      <c r="E158" s="42"/>
      <c r="F158" s="42"/>
    </row>
    <row r="159" customFormat="false" ht="16.5" hidden="false" customHeight="true" outlineLevel="0" collapsed="false">
      <c r="B159" s="196"/>
      <c r="C159" s="42"/>
      <c r="D159" s="42"/>
      <c r="E159" s="42"/>
      <c r="F159" s="42"/>
    </row>
    <row r="160" customFormat="false" ht="16.5" hidden="false" customHeight="true" outlineLevel="0" collapsed="false">
      <c r="B160" s="196"/>
      <c r="C160" s="42"/>
      <c r="D160" s="42"/>
      <c r="E160" s="42"/>
      <c r="F160" s="42"/>
    </row>
    <row r="161" customFormat="false" ht="16.5" hidden="false" customHeight="true" outlineLevel="0" collapsed="false">
      <c r="B161" s="196"/>
      <c r="C161" s="42"/>
      <c r="D161" s="42"/>
      <c r="E161" s="42"/>
      <c r="F161" s="42"/>
    </row>
    <row r="162" customFormat="false" ht="16.5" hidden="false" customHeight="true" outlineLevel="0" collapsed="false">
      <c r="B162" s="196"/>
      <c r="C162" s="42"/>
      <c r="D162" s="42"/>
      <c r="E162" s="42"/>
      <c r="F162" s="42"/>
    </row>
    <row r="163" customFormat="false" ht="16.5" hidden="false" customHeight="true" outlineLevel="0" collapsed="false">
      <c r="B163" s="196"/>
      <c r="C163" s="42"/>
      <c r="D163" s="42"/>
      <c r="E163" s="42"/>
      <c r="F163" s="42"/>
    </row>
    <row r="164" customFormat="false" ht="16.5" hidden="false" customHeight="true" outlineLevel="0" collapsed="false">
      <c r="B164" s="196"/>
      <c r="C164" s="42"/>
      <c r="D164" s="42"/>
      <c r="E164" s="42"/>
      <c r="F164" s="42"/>
    </row>
    <row r="165" customFormat="false" ht="16.5" hidden="false" customHeight="true" outlineLevel="0" collapsed="false">
      <c r="B165" s="196"/>
      <c r="C165" s="42"/>
      <c r="D165" s="42"/>
      <c r="E165" s="42"/>
      <c r="F165" s="42"/>
    </row>
    <row r="166" customFormat="false" ht="16.5" hidden="false" customHeight="true" outlineLevel="0" collapsed="false">
      <c r="B166" s="196"/>
      <c r="C166" s="42"/>
      <c r="D166" s="42"/>
      <c r="E166" s="42"/>
      <c r="F166" s="42"/>
    </row>
    <row r="167" customFormat="false" ht="16.5" hidden="false" customHeight="true" outlineLevel="0" collapsed="false">
      <c r="B167" s="196"/>
      <c r="C167" s="42"/>
      <c r="D167" s="42"/>
      <c r="E167" s="42"/>
      <c r="F167" s="42"/>
    </row>
    <row r="168" customFormat="false" ht="16.5" hidden="false" customHeight="true" outlineLevel="0" collapsed="false">
      <c r="B168" s="196"/>
      <c r="C168" s="42"/>
      <c r="D168" s="42"/>
      <c r="E168" s="42"/>
      <c r="F168" s="42"/>
    </row>
    <row r="169" customFormat="false" ht="16.5" hidden="false" customHeight="true" outlineLevel="0" collapsed="false">
      <c r="B169" s="196"/>
      <c r="C169" s="42"/>
      <c r="D169" s="42"/>
      <c r="E169" s="42"/>
      <c r="F169" s="42"/>
    </row>
    <row r="170" customFormat="false" ht="16.5" hidden="false" customHeight="true" outlineLevel="0" collapsed="false">
      <c r="B170" s="196"/>
      <c r="C170" s="42"/>
      <c r="D170" s="42"/>
      <c r="E170" s="42"/>
      <c r="F170" s="42"/>
    </row>
    <row r="171" customFormat="false" ht="16.5" hidden="false" customHeight="true" outlineLevel="0" collapsed="false">
      <c r="B171" s="196"/>
      <c r="C171" s="42"/>
      <c r="D171" s="42"/>
      <c r="E171" s="42"/>
      <c r="F171" s="42"/>
    </row>
    <row r="172" customFormat="false" ht="16.5" hidden="false" customHeight="true" outlineLevel="0" collapsed="false">
      <c r="B172" s="196"/>
      <c r="C172" s="42"/>
      <c r="D172" s="42"/>
      <c r="E172" s="42"/>
      <c r="F172" s="42"/>
    </row>
    <row r="173" customFormat="false" ht="16.5" hidden="false" customHeight="true" outlineLevel="0" collapsed="false">
      <c r="B173" s="196"/>
      <c r="C173" s="42"/>
      <c r="D173" s="42"/>
      <c r="E173" s="42"/>
      <c r="F173" s="42"/>
    </row>
    <row r="174" customFormat="false" ht="16.5" hidden="false" customHeight="true" outlineLevel="0" collapsed="false">
      <c r="B174" s="196"/>
      <c r="C174" s="42"/>
      <c r="D174" s="42"/>
      <c r="E174" s="42"/>
      <c r="F174" s="42"/>
    </row>
    <row r="175" customFormat="false" ht="16.5" hidden="false" customHeight="true" outlineLevel="0" collapsed="false">
      <c r="B175" s="196"/>
      <c r="C175" s="42"/>
      <c r="D175" s="42"/>
      <c r="E175" s="42"/>
      <c r="F175" s="42"/>
    </row>
    <row r="176" customFormat="false" ht="16.5" hidden="false" customHeight="true" outlineLevel="0" collapsed="false">
      <c r="B176" s="196"/>
      <c r="C176" s="42"/>
      <c r="D176" s="42"/>
      <c r="E176" s="42"/>
      <c r="F176" s="42"/>
    </row>
    <row r="177" customFormat="false" ht="16.5" hidden="false" customHeight="true" outlineLevel="0" collapsed="false">
      <c r="B177" s="196"/>
      <c r="C177" s="42"/>
      <c r="D177" s="42"/>
      <c r="E177" s="42"/>
      <c r="F177" s="42"/>
    </row>
    <row r="178" customFormat="false" ht="16.5" hidden="false" customHeight="true" outlineLevel="0" collapsed="false">
      <c r="B178" s="196"/>
      <c r="C178" s="42"/>
      <c r="D178" s="42"/>
      <c r="E178" s="42"/>
      <c r="F178" s="42"/>
    </row>
    <row r="179" customFormat="false" ht="16.5" hidden="false" customHeight="true" outlineLevel="0" collapsed="false">
      <c r="B179" s="196"/>
      <c r="C179" s="42"/>
      <c r="D179" s="42"/>
      <c r="E179" s="42"/>
      <c r="F179" s="42"/>
    </row>
    <row r="180" customFormat="false" ht="16.5" hidden="false" customHeight="true" outlineLevel="0" collapsed="false">
      <c r="B180" s="196"/>
      <c r="C180" s="42"/>
      <c r="D180" s="42"/>
      <c r="E180" s="42"/>
      <c r="F180" s="42"/>
    </row>
    <row r="181" customFormat="false" ht="16.5" hidden="false" customHeight="true" outlineLevel="0" collapsed="false">
      <c r="B181" s="196"/>
      <c r="C181" s="42"/>
      <c r="D181" s="42"/>
      <c r="E181" s="42"/>
      <c r="F181" s="42"/>
    </row>
    <row r="182" customFormat="false" ht="16.5" hidden="false" customHeight="true" outlineLevel="0" collapsed="false">
      <c r="B182" s="196"/>
      <c r="C182" s="42"/>
      <c r="D182" s="42"/>
      <c r="E182" s="42"/>
      <c r="F182" s="42"/>
    </row>
    <row r="183" customFormat="false" ht="16.5" hidden="false" customHeight="true" outlineLevel="0" collapsed="false">
      <c r="B183" s="196"/>
      <c r="C183" s="42"/>
      <c r="D183" s="42"/>
      <c r="E183" s="42"/>
      <c r="F183" s="42"/>
    </row>
    <row r="184" customFormat="false" ht="16.5" hidden="false" customHeight="true" outlineLevel="0" collapsed="false">
      <c r="B184" s="196"/>
      <c r="C184" s="42"/>
      <c r="D184" s="42"/>
      <c r="E184" s="42"/>
      <c r="F184" s="42"/>
    </row>
    <row r="185" customFormat="false" ht="16.5" hidden="false" customHeight="true" outlineLevel="0" collapsed="false">
      <c r="B185" s="196"/>
      <c r="C185" s="42"/>
      <c r="D185" s="42"/>
      <c r="E185" s="42"/>
      <c r="F185" s="42"/>
    </row>
    <row r="186" customFormat="false" ht="16.5" hidden="false" customHeight="true" outlineLevel="0" collapsed="false">
      <c r="B186" s="196"/>
      <c r="C186" s="42"/>
      <c r="D186" s="42"/>
      <c r="E186" s="42"/>
      <c r="F186" s="42"/>
    </row>
    <row r="187" customFormat="false" ht="16.5" hidden="false" customHeight="true" outlineLevel="0" collapsed="false">
      <c r="B187" s="196"/>
      <c r="C187" s="42"/>
      <c r="D187" s="42"/>
      <c r="E187" s="42"/>
      <c r="F187" s="42"/>
    </row>
    <row r="188" customFormat="false" ht="16.5" hidden="false" customHeight="true" outlineLevel="0" collapsed="false">
      <c r="B188" s="196"/>
      <c r="C188" s="42"/>
      <c r="D188" s="42"/>
      <c r="E188" s="42"/>
      <c r="F188" s="42"/>
    </row>
    <row r="189" customFormat="false" ht="16.5" hidden="false" customHeight="true" outlineLevel="0" collapsed="false">
      <c r="B189" s="196"/>
      <c r="C189" s="42"/>
      <c r="D189" s="42"/>
      <c r="E189" s="42"/>
      <c r="F189" s="42"/>
    </row>
    <row r="190" customFormat="false" ht="16.5" hidden="false" customHeight="true" outlineLevel="0" collapsed="false">
      <c r="B190" s="196"/>
      <c r="C190" s="42"/>
      <c r="D190" s="42"/>
      <c r="E190" s="42"/>
      <c r="F190" s="42"/>
    </row>
    <row r="191" customFormat="false" ht="16.5" hidden="false" customHeight="true" outlineLevel="0" collapsed="false">
      <c r="B191" s="196"/>
      <c r="C191" s="42"/>
      <c r="D191" s="42"/>
      <c r="E191" s="42"/>
      <c r="F191" s="42"/>
    </row>
    <row r="192" customFormat="false" ht="16.5" hidden="false" customHeight="true" outlineLevel="0" collapsed="false">
      <c r="B192" s="196"/>
      <c r="C192" s="42"/>
      <c r="D192" s="42"/>
      <c r="E192" s="42"/>
      <c r="F192" s="42"/>
    </row>
    <row r="193" customFormat="false" ht="16.5" hidden="false" customHeight="true" outlineLevel="0" collapsed="false">
      <c r="B193" s="196"/>
      <c r="C193" s="42"/>
      <c r="D193" s="42"/>
      <c r="E193" s="42"/>
      <c r="F193" s="42"/>
    </row>
    <row r="194" customFormat="false" ht="16.5" hidden="false" customHeight="true" outlineLevel="0" collapsed="false">
      <c r="B194" s="196"/>
      <c r="C194" s="42"/>
      <c r="D194" s="42"/>
      <c r="E194" s="42"/>
      <c r="F194" s="42"/>
    </row>
    <row r="195" customFormat="false" ht="16.5" hidden="false" customHeight="true" outlineLevel="0" collapsed="false">
      <c r="B195" s="196"/>
      <c r="C195" s="42"/>
      <c r="D195" s="42"/>
      <c r="E195" s="42"/>
      <c r="F195" s="42"/>
    </row>
    <row r="196" customFormat="false" ht="16.5" hidden="false" customHeight="true" outlineLevel="0" collapsed="false">
      <c r="B196" s="196"/>
      <c r="C196" s="42"/>
      <c r="D196" s="42"/>
      <c r="E196" s="42"/>
      <c r="F196" s="42"/>
    </row>
    <row r="197" customFormat="false" ht="16.5" hidden="false" customHeight="true" outlineLevel="0" collapsed="false">
      <c r="B197" s="196"/>
      <c r="C197" s="42"/>
      <c r="D197" s="42"/>
      <c r="E197" s="42"/>
      <c r="F197" s="42"/>
    </row>
    <row r="198" customFormat="false" ht="16.5" hidden="false" customHeight="true" outlineLevel="0" collapsed="false">
      <c r="B198" s="196"/>
      <c r="C198" s="42"/>
      <c r="D198" s="42"/>
      <c r="E198" s="42"/>
      <c r="F198" s="42"/>
    </row>
    <row r="199" customFormat="false" ht="16.5" hidden="false" customHeight="true" outlineLevel="0" collapsed="false">
      <c r="B199" s="196"/>
      <c r="C199" s="42"/>
      <c r="D199" s="42"/>
      <c r="E199" s="42"/>
      <c r="F199" s="42"/>
    </row>
    <row r="200" customFormat="false" ht="16.5" hidden="false" customHeight="true" outlineLevel="0" collapsed="false">
      <c r="B200" s="196"/>
      <c r="C200" s="42"/>
      <c r="D200" s="42"/>
      <c r="E200" s="42"/>
      <c r="F200" s="42"/>
    </row>
    <row r="201" customFormat="false" ht="16.5" hidden="false" customHeight="true" outlineLevel="0" collapsed="false">
      <c r="B201" s="196"/>
      <c r="C201" s="42"/>
      <c r="D201" s="42"/>
      <c r="E201" s="42"/>
      <c r="F201" s="42"/>
    </row>
    <row r="202" customFormat="false" ht="16.5" hidden="false" customHeight="true" outlineLevel="0" collapsed="false">
      <c r="B202" s="196"/>
      <c r="C202" s="42"/>
      <c r="D202" s="42"/>
      <c r="E202" s="42"/>
      <c r="F202" s="42"/>
    </row>
    <row r="203" customFormat="false" ht="16.5" hidden="false" customHeight="true" outlineLevel="0" collapsed="false">
      <c r="B203" s="196"/>
      <c r="C203" s="42"/>
      <c r="D203" s="42"/>
      <c r="E203" s="42"/>
      <c r="F203" s="42"/>
    </row>
    <row r="204" customFormat="false" ht="16.5" hidden="false" customHeight="true" outlineLevel="0" collapsed="false">
      <c r="B204" s="196"/>
      <c r="C204" s="42"/>
      <c r="D204" s="42"/>
      <c r="E204" s="42"/>
      <c r="F204" s="42"/>
    </row>
    <row r="205" customFormat="false" ht="16.5" hidden="false" customHeight="true" outlineLevel="0" collapsed="false">
      <c r="B205" s="196"/>
      <c r="C205" s="42"/>
      <c r="D205" s="42"/>
      <c r="E205" s="42"/>
      <c r="F205" s="42"/>
    </row>
    <row r="206" customFormat="false" ht="16.5" hidden="false" customHeight="true" outlineLevel="0" collapsed="false">
      <c r="B206" s="196"/>
      <c r="C206" s="42"/>
      <c r="D206" s="42"/>
      <c r="E206" s="42"/>
      <c r="F206" s="42"/>
    </row>
    <row r="207" customFormat="false" ht="16.5" hidden="false" customHeight="true" outlineLevel="0" collapsed="false">
      <c r="B207" s="196"/>
      <c r="C207" s="42"/>
      <c r="D207" s="42"/>
      <c r="E207" s="42"/>
      <c r="F207" s="42"/>
    </row>
    <row r="208" customFormat="false" ht="16.5" hidden="false" customHeight="true" outlineLevel="0" collapsed="false">
      <c r="B208" s="196"/>
      <c r="C208" s="42"/>
      <c r="D208" s="42"/>
      <c r="E208" s="42"/>
      <c r="F208" s="42"/>
    </row>
    <row r="209" customFormat="false" ht="16.5" hidden="false" customHeight="true" outlineLevel="0" collapsed="false">
      <c r="B209" s="196"/>
      <c r="C209" s="42"/>
      <c r="D209" s="42"/>
      <c r="E209" s="42"/>
      <c r="F209" s="42"/>
    </row>
    <row r="210" customFormat="false" ht="16.5" hidden="false" customHeight="true" outlineLevel="0" collapsed="false">
      <c r="B210" s="196"/>
      <c r="C210" s="42"/>
      <c r="D210" s="42"/>
      <c r="E210" s="42"/>
      <c r="F210" s="42"/>
    </row>
    <row r="211" customFormat="false" ht="16.5" hidden="false" customHeight="true" outlineLevel="0" collapsed="false">
      <c r="B211" s="196"/>
      <c r="C211" s="42"/>
      <c r="D211" s="42"/>
      <c r="E211" s="42"/>
      <c r="F211" s="42"/>
    </row>
    <row r="212" customFormat="false" ht="16.5" hidden="false" customHeight="true" outlineLevel="0" collapsed="false">
      <c r="B212" s="196"/>
      <c r="C212" s="42"/>
      <c r="D212" s="42"/>
      <c r="E212" s="42"/>
      <c r="F212" s="42"/>
    </row>
    <row r="213" customFormat="false" ht="16.5" hidden="false" customHeight="true" outlineLevel="0" collapsed="false">
      <c r="B213" s="196"/>
      <c r="C213" s="42"/>
      <c r="D213" s="42"/>
      <c r="E213" s="42"/>
      <c r="F213" s="42"/>
    </row>
    <row r="214" customFormat="false" ht="16.5" hidden="false" customHeight="true" outlineLevel="0" collapsed="false">
      <c r="B214" s="196"/>
      <c r="C214" s="42"/>
      <c r="D214" s="42"/>
      <c r="E214" s="42"/>
      <c r="F214" s="42"/>
    </row>
    <row r="215" customFormat="false" ht="16.5" hidden="false" customHeight="true" outlineLevel="0" collapsed="false">
      <c r="B215" s="196"/>
      <c r="C215" s="42"/>
      <c r="D215" s="42"/>
      <c r="E215" s="42"/>
      <c r="F215" s="42"/>
    </row>
    <row r="216" customFormat="false" ht="16.5" hidden="false" customHeight="true" outlineLevel="0" collapsed="false">
      <c r="B216" s="196"/>
      <c r="C216" s="42"/>
      <c r="D216" s="42"/>
      <c r="E216" s="42"/>
      <c r="F216" s="42"/>
    </row>
    <row r="217" customFormat="false" ht="16.5" hidden="false" customHeight="true" outlineLevel="0" collapsed="false">
      <c r="B217" s="196"/>
      <c r="C217" s="42"/>
      <c r="D217" s="42"/>
      <c r="E217" s="42"/>
      <c r="F217" s="42"/>
    </row>
    <row r="218" customFormat="false" ht="16.5" hidden="false" customHeight="true" outlineLevel="0" collapsed="false">
      <c r="B218" s="196"/>
      <c r="C218" s="42"/>
      <c r="D218" s="42"/>
      <c r="E218" s="42"/>
      <c r="F218" s="42"/>
    </row>
    <row r="219" customFormat="false" ht="16.5" hidden="false" customHeight="true" outlineLevel="0" collapsed="false">
      <c r="B219" s="196"/>
      <c r="C219" s="42"/>
      <c r="D219" s="42"/>
      <c r="E219" s="42"/>
      <c r="F219" s="42"/>
    </row>
    <row r="220" customFormat="false" ht="16.5" hidden="false" customHeight="true" outlineLevel="0" collapsed="false">
      <c r="B220" s="196"/>
      <c r="C220" s="42"/>
      <c r="D220" s="42"/>
      <c r="E220" s="42"/>
      <c r="F220" s="42"/>
    </row>
    <row r="221" customFormat="false" ht="16.5" hidden="false" customHeight="true" outlineLevel="0" collapsed="false">
      <c r="B221" s="196"/>
      <c r="C221" s="42"/>
      <c r="D221" s="42"/>
      <c r="E221" s="42"/>
      <c r="F221" s="42"/>
    </row>
    <row r="222" customFormat="false" ht="16.5" hidden="false" customHeight="true" outlineLevel="0" collapsed="false">
      <c r="B222" s="196"/>
      <c r="C222" s="42"/>
      <c r="D222" s="42"/>
      <c r="E222" s="42"/>
      <c r="F222" s="42"/>
    </row>
    <row r="223" customFormat="false" ht="16.5" hidden="false" customHeight="true" outlineLevel="0" collapsed="false">
      <c r="B223" s="196"/>
      <c r="C223" s="42"/>
      <c r="D223" s="42"/>
      <c r="E223" s="42"/>
      <c r="F223" s="42"/>
    </row>
    <row r="224" customFormat="false" ht="16.5" hidden="false" customHeight="true" outlineLevel="0" collapsed="false">
      <c r="B224" s="196"/>
      <c r="C224" s="42"/>
      <c r="D224" s="42"/>
      <c r="E224" s="42"/>
      <c r="F224" s="42"/>
    </row>
    <row r="225" customFormat="false" ht="16.5" hidden="false" customHeight="true" outlineLevel="0" collapsed="false">
      <c r="B225" s="196"/>
      <c r="C225" s="42"/>
      <c r="D225" s="42"/>
      <c r="E225" s="42"/>
      <c r="F225" s="42"/>
    </row>
    <row r="226" customFormat="false" ht="16.5" hidden="false" customHeight="true" outlineLevel="0" collapsed="false">
      <c r="B226" s="196"/>
      <c r="C226" s="42"/>
      <c r="D226" s="42"/>
      <c r="E226" s="42"/>
      <c r="F226" s="42"/>
    </row>
    <row r="227" customFormat="false" ht="16.5" hidden="false" customHeight="true" outlineLevel="0" collapsed="false">
      <c r="B227" s="196"/>
      <c r="C227" s="42"/>
      <c r="D227" s="42"/>
      <c r="E227" s="42"/>
      <c r="F227" s="42"/>
    </row>
    <row r="228" customFormat="false" ht="16.5" hidden="false" customHeight="true" outlineLevel="0" collapsed="false">
      <c r="B228" s="196"/>
      <c r="C228" s="42"/>
      <c r="D228" s="42"/>
      <c r="E228" s="42"/>
      <c r="F228" s="42"/>
    </row>
    <row r="229" customFormat="false" ht="16.5" hidden="false" customHeight="true" outlineLevel="0" collapsed="false">
      <c r="B229" s="196"/>
      <c r="C229" s="42"/>
      <c r="D229" s="42"/>
      <c r="E229" s="42"/>
      <c r="F229" s="42"/>
    </row>
    <row r="230" customFormat="false" ht="16.5" hidden="false" customHeight="true" outlineLevel="0" collapsed="false">
      <c r="B230" s="196"/>
      <c r="C230" s="42"/>
      <c r="D230" s="42"/>
      <c r="E230" s="42"/>
      <c r="F230" s="42"/>
    </row>
    <row r="231" customFormat="false" ht="16.5" hidden="false" customHeight="true" outlineLevel="0" collapsed="false">
      <c r="B231" s="196"/>
      <c r="C231" s="42"/>
      <c r="D231" s="42"/>
      <c r="E231" s="42"/>
      <c r="F231" s="42"/>
    </row>
    <row r="232" customFormat="false" ht="16.5" hidden="false" customHeight="true" outlineLevel="0" collapsed="false">
      <c r="B232" s="196"/>
      <c r="C232" s="42"/>
      <c r="D232" s="42"/>
      <c r="E232" s="42"/>
      <c r="F232" s="42"/>
    </row>
    <row r="233" customFormat="false" ht="16.5" hidden="false" customHeight="true" outlineLevel="0" collapsed="false">
      <c r="B233" s="196"/>
      <c r="C233" s="42"/>
      <c r="D233" s="42"/>
      <c r="E233" s="42"/>
      <c r="F233" s="42"/>
    </row>
    <row r="234" customFormat="false" ht="16.5" hidden="false" customHeight="true" outlineLevel="0" collapsed="false">
      <c r="B234" s="196"/>
      <c r="C234" s="42"/>
      <c r="D234" s="42"/>
      <c r="E234" s="42"/>
      <c r="F234" s="42"/>
    </row>
    <row r="235" customFormat="false" ht="16.5" hidden="false" customHeight="true" outlineLevel="0" collapsed="false">
      <c r="B235" s="196"/>
      <c r="C235" s="42"/>
      <c r="D235" s="42"/>
      <c r="E235" s="42"/>
      <c r="F235" s="42"/>
    </row>
    <row r="236" customFormat="false" ht="16.5" hidden="false" customHeight="true" outlineLevel="0" collapsed="false">
      <c r="B236" s="196"/>
      <c r="C236" s="42"/>
      <c r="D236" s="42"/>
      <c r="E236" s="42"/>
      <c r="F236" s="42"/>
    </row>
    <row r="237" customFormat="false" ht="16.5" hidden="false" customHeight="true" outlineLevel="0" collapsed="false">
      <c r="B237" s="196"/>
      <c r="C237" s="42"/>
      <c r="D237" s="42"/>
      <c r="E237" s="42"/>
      <c r="F237" s="42"/>
    </row>
    <row r="238" customFormat="false" ht="16.5" hidden="false" customHeight="true" outlineLevel="0" collapsed="false">
      <c r="B238" s="196"/>
      <c r="C238" s="42"/>
      <c r="D238" s="42"/>
      <c r="E238" s="42"/>
      <c r="F238" s="42"/>
    </row>
    <row r="239" customFormat="false" ht="16.5" hidden="false" customHeight="true" outlineLevel="0" collapsed="false">
      <c r="B239" s="196"/>
      <c r="C239" s="42"/>
      <c r="D239" s="42"/>
      <c r="E239" s="42"/>
      <c r="F239" s="42"/>
    </row>
    <row r="240" customFormat="false" ht="16.5" hidden="false" customHeight="true" outlineLevel="0" collapsed="false">
      <c r="B240" s="196"/>
      <c r="C240" s="42"/>
      <c r="D240" s="42"/>
      <c r="E240" s="42"/>
      <c r="F240" s="42"/>
    </row>
    <row r="241" customFormat="false" ht="16.5" hidden="false" customHeight="true" outlineLevel="0" collapsed="false">
      <c r="B241" s="196"/>
      <c r="C241" s="42"/>
      <c r="D241" s="42"/>
      <c r="E241" s="42"/>
      <c r="F241" s="42"/>
    </row>
    <row r="242" customFormat="false" ht="16.5" hidden="false" customHeight="true" outlineLevel="0" collapsed="false">
      <c r="B242" s="196"/>
      <c r="C242" s="42"/>
      <c r="D242" s="42"/>
      <c r="E242" s="42"/>
      <c r="F242" s="42"/>
    </row>
    <row r="243" customFormat="false" ht="16.5" hidden="false" customHeight="true" outlineLevel="0" collapsed="false">
      <c r="B243" s="196"/>
      <c r="C243" s="42"/>
      <c r="D243" s="42"/>
      <c r="E243" s="42"/>
      <c r="F243" s="42"/>
    </row>
    <row r="244" customFormat="false" ht="16.5" hidden="false" customHeight="true" outlineLevel="0" collapsed="false">
      <c r="B244" s="196"/>
      <c r="C244" s="42"/>
      <c r="D244" s="42"/>
      <c r="E244" s="42"/>
      <c r="F244" s="42"/>
    </row>
    <row r="245" customFormat="false" ht="16.5" hidden="false" customHeight="true" outlineLevel="0" collapsed="false">
      <c r="B245" s="196"/>
      <c r="C245" s="42"/>
      <c r="D245" s="42"/>
      <c r="E245" s="42"/>
      <c r="F245" s="42"/>
    </row>
    <row r="246" customFormat="false" ht="16.5" hidden="false" customHeight="true" outlineLevel="0" collapsed="false">
      <c r="B246" s="196"/>
      <c r="C246" s="42"/>
      <c r="D246" s="42"/>
      <c r="E246" s="42"/>
      <c r="F246" s="42"/>
    </row>
    <row r="247" customFormat="false" ht="16.5" hidden="false" customHeight="true" outlineLevel="0" collapsed="false">
      <c r="B247" s="196"/>
      <c r="C247" s="42"/>
      <c r="D247" s="42"/>
      <c r="E247" s="42"/>
      <c r="F247" s="42"/>
    </row>
    <row r="248" customFormat="false" ht="16.5" hidden="false" customHeight="true" outlineLevel="0" collapsed="false">
      <c r="B248" s="196"/>
      <c r="C248" s="42"/>
      <c r="D248" s="42"/>
      <c r="E248" s="42"/>
      <c r="F248" s="42"/>
    </row>
    <row r="249" customFormat="false" ht="16.5" hidden="false" customHeight="true" outlineLevel="0" collapsed="false">
      <c r="B249" s="196"/>
      <c r="C249" s="42"/>
      <c r="D249" s="42"/>
      <c r="E249" s="42"/>
      <c r="F249" s="42"/>
    </row>
    <row r="250" customFormat="false" ht="16.5" hidden="false" customHeight="true" outlineLevel="0" collapsed="false">
      <c r="B250" s="196"/>
      <c r="C250" s="42"/>
      <c r="D250" s="42"/>
      <c r="E250" s="42"/>
      <c r="F250" s="42"/>
    </row>
    <row r="251" customFormat="false" ht="16.5" hidden="false" customHeight="true" outlineLevel="0" collapsed="false">
      <c r="B251" s="196"/>
      <c r="C251" s="42"/>
      <c r="D251" s="42"/>
      <c r="E251" s="42"/>
      <c r="F251" s="42"/>
    </row>
    <row r="252" customFormat="false" ht="16.5" hidden="false" customHeight="true" outlineLevel="0" collapsed="false">
      <c r="B252" s="196"/>
      <c r="C252" s="42"/>
      <c r="D252" s="42"/>
      <c r="E252" s="42"/>
      <c r="F252" s="42"/>
    </row>
    <row r="253" customFormat="false" ht="16.5" hidden="false" customHeight="true" outlineLevel="0" collapsed="false">
      <c r="B253" s="196"/>
      <c r="C253" s="42"/>
      <c r="D253" s="42"/>
      <c r="E253" s="42"/>
      <c r="F253" s="42"/>
    </row>
    <row r="254" customFormat="false" ht="16.5" hidden="false" customHeight="true" outlineLevel="0" collapsed="false">
      <c r="B254" s="196"/>
      <c r="C254" s="42"/>
      <c r="D254" s="42"/>
      <c r="E254" s="42"/>
      <c r="F254" s="42"/>
    </row>
    <row r="255" customFormat="false" ht="16.5" hidden="false" customHeight="true" outlineLevel="0" collapsed="false">
      <c r="B255" s="196"/>
      <c r="C255" s="42"/>
      <c r="D255" s="42"/>
      <c r="E255" s="42"/>
      <c r="F255" s="42"/>
    </row>
    <row r="256" customFormat="false" ht="16.5" hidden="false" customHeight="true" outlineLevel="0" collapsed="false">
      <c r="B256" s="196"/>
      <c r="C256" s="42"/>
      <c r="D256" s="42"/>
      <c r="E256" s="42"/>
      <c r="F256" s="42"/>
    </row>
    <row r="257" customFormat="false" ht="16.5" hidden="false" customHeight="true" outlineLevel="0" collapsed="false">
      <c r="B257" s="196"/>
      <c r="C257" s="42"/>
      <c r="D257" s="42"/>
      <c r="E257" s="42"/>
      <c r="F257" s="42"/>
    </row>
    <row r="258" customFormat="false" ht="16.5" hidden="false" customHeight="true" outlineLevel="0" collapsed="false">
      <c r="B258" s="196"/>
      <c r="C258" s="42"/>
      <c r="D258" s="42"/>
      <c r="E258" s="42"/>
      <c r="F258" s="42"/>
    </row>
    <row r="259" customFormat="false" ht="16.5" hidden="false" customHeight="true" outlineLevel="0" collapsed="false">
      <c r="B259" s="196"/>
      <c r="C259" s="42"/>
      <c r="D259" s="42"/>
      <c r="E259" s="42"/>
      <c r="F259" s="42"/>
    </row>
    <row r="260" customFormat="false" ht="16.5" hidden="false" customHeight="true" outlineLevel="0" collapsed="false">
      <c r="B260" s="196"/>
      <c r="C260" s="42"/>
      <c r="D260" s="42"/>
      <c r="E260" s="42"/>
      <c r="F260" s="42"/>
    </row>
    <row r="261" customFormat="false" ht="16.5" hidden="false" customHeight="true" outlineLevel="0" collapsed="false">
      <c r="B261" s="196"/>
      <c r="C261" s="42"/>
      <c r="D261" s="42"/>
      <c r="E261" s="42"/>
      <c r="F261" s="42"/>
    </row>
    <row r="262" customFormat="false" ht="16.5" hidden="false" customHeight="true" outlineLevel="0" collapsed="false">
      <c r="B262" s="196"/>
      <c r="C262" s="42"/>
      <c r="D262" s="42"/>
      <c r="E262" s="42"/>
      <c r="F262" s="42"/>
    </row>
    <row r="263" customFormat="false" ht="16.5" hidden="false" customHeight="true" outlineLevel="0" collapsed="false">
      <c r="B263" s="196"/>
      <c r="C263" s="42"/>
      <c r="D263" s="42"/>
      <c r="E263" s="42"/>
      <c r="F263" s="42"/>
    </row>
    <row r="264" customFormat="false" ht="16.5" hidden="false" customHeight="true" outlineLevel="0" collapsed="false">
      <c r="B264" s="196"/>
      <c r="C264" s="42"/>
      <c r="D264" s="42"/>
      <c r="E264" s="42"/>
      <c r="F264" s="42"/>
    </row>
    <row r="265" customFormat="false" ht="16.5" hidden="false" customHeight="true" outlineLevel="0" collapsed="false">
      <c r="B265" s="196"/>
      <c r="C265" s="42"/>
      <c r="D265" s="42"/>
      <c r="E265" s="42"/>
      <c r="F265" s="42"/>
    </row>
    <row r="266" customFormat="false" ht="16.5" hidden="false" customHeight="true" outlineLevel="0" collapsed="false">
      <c r="B266" s="196"/>
      <c r="C266" s="42"/>
      <c r="D266" s="42"/>
      <c r="E266" s="42"/>
      <c r="F266" s="42"/>
    </row>
    <row r="267" customFormat="false" ht="16.5" hidden="false" customHeight="true" outlineLevel="0" collapsed="false">
      <c r="B267" s="196"/>
      <c r="C267" s="42"/>
      <c r="D267" s="42"/>
      <c r="E267" s="42"/>
      <c r="F267" s="42"/>
    </row>
    <row r="268" customFormat="false" ht="16.5" hidden="false" customHeight="true" outlineLevel="0" collapsed="false">
      <c r="B268" s="196"/>
      <c r="C268" s="42"/>
      <c r="D268" s="42"/>
      <c r="E268" s="42"/>
      <c r="F268" s="42"/>
    </row>
    <row r="269" customFormat="false" ht="16.5" hidden="false" customHeight="true" outlineLevel="0" collapsed="false">
      <c r="B269" s="196"/>
      <c r="C269" s="42"/>
      <c r="D269" s="42"/>
      <c r="E269" s="42"/>
      <c r="F269" s="42"/>
    </row>
    <row r="270" customFormat="false" ht="16.5" hidden="false" customHeight="true" outlineLevel="0" collapsed="false">
      <c r="B270" s="196"/>
      <c r="C270" s="42"/>
      <c r="D270" s="42"/>
      <c r="E270" s="42"/>
      <c r="F270" s="42"/>
    </row>
  </sheetData>
  <mergeCells count="39">
    <mergeCell ref="D9:I9"/>
    <mergeCell ref="D10:I10"/>
    <mergeCell ref="D11:I11"/>
    <mergeCell ref="D12:I12"/>
    <mergeCell ref="G21:M21"/>
    <mergeCell ref="Q21:W21"/>
    <mergeCell ref="G22:M22"/>
    <mergeCell ref="Q22:W22"/>
    <mergeCell ref="G23:M23"/>
    <mergeCell ref="Q23:W23"/>
    <mergeCell ref="K25:S25"/>
    <mergeCell ref="K26:S26"/>
    <mergeCell ref="K27:S27"/>
    <mergeCell ref="K35:S35"/>
    <mergeCell ref="K36:S36"/>
    <mergeCell ref="E47:G47"/>
    <mergeCell ref="H47:K47"/>
    <mergeCell ref="L47:V47"/>
    <mergeCell ref="W47:Y47"/>
    <mergeCell ref="E48:G48"/>
    <mergeCell ref="H48:K48"/>
    <mergeCell ref="L48:V48"/>
    <mergeCell ref="W48:Y48"/>
    <mergeCell ref="E49:G49"/>
    <mergeCell ref="H49:K49"/>
    <mergeCell ref="L49:V49"/>
    <mergeCell ref="W49:Y49"/>
    <mergeCell ref="E50:G50"/>
    <mergeCell ref="H50:K50"/>
    <mergeCell ref="L50:V50"/>
    <mergeCell ref="W50:Y50"/>
    <mergeCell ref="E51:G51"/>
    <mergeCell ref="H51:K51"/>
    <mergeCell ref="L51:V51"/>
    <mergeCell ref="W51:Y51"/>
    <mergeCell ref="E52:G52"/>
    <mergeCell ref="H52:K52"/>
    <mergeCell ref="L52:V52"/>
    <mergeCell ref="W52:Y52"/>
  </mergeCells>
  <printOptions headings="false" gridLines="false" gridLinesSet="true" horizontalCentered="true" verticalCentered="false"/>
  <pageMargins left="0.511805555555556" right="0.511805555555556" top="0.747916666666667" bottom="0.551388888888889" header="0.511811023622047" footer="0.315277777777778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&amp;R환경보전계획&amp;P/&amp;N</oddFooter>
  </headerFooter>
  <rowBreaks count="3" manualBreakCount="3">
    <brk id="43" man="true" max="16383" min="0"/>
    <brk id="88" man="true" max="16383" min="0"/>
    <brk id="137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0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M40" activeCellId="0" sqref="AM40"/>
    </sheetView>
  </sheetViews>
  <sheetFormatPr defaultColWidth="9" defaultRowHeight="13.5" zeroHeight="false" outlineLevelRow="0" outlineLevelCol="0"/>
  <cols>
    <col collapsed="false" customWidth="true" hidden="false" outlineLevel="0" max="1" min="1" style="173" width="2.13"/>
    <col collapsed="false" customWidth="true" hidden="false" outlineLevel="0" max="26" min="2" style="173" width="3.63"/>
    <col collapsed="false" customWidth="true" hidden="false" outlineLevel="0" max="27" min="27" style="173" width="1.75"/>
    <col collapsed="false" customWidth="false" hidden="false" outlineLevel="0" max="16384" min="28" style="173" width="9"/>
  </cols>
  <sheetData>
    <row r="1" customFormat="false" ht="15" hidden="false" customHeight="true" outlineLevel="0" collapsed="false"/>
    <row r="2" customFormat="false" ht="15" hidden="false" customHeight="true" outlineLevel="0" collapsed="false">
      <c r="B2" s="249"/>
      <c r="C2" s="250"/>
      <c r="D2" s="250"/>
      <c r="E2" s="250"/>
      <c r="F2" s="250"/>
      <c r="G2" s="250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2"/>
    </row>
    <row r="3" customFormat="false" ht="21.75" hidden="false" customHeight="true" outlineLevel="0" collapsed="false">
      <c r="B3" s="359" t="s">
        <v>705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</row>
    <row r="4" customFormat="false" ht="21.75" hidden="false" customHeight="true" outlineLevel="0" collapsed="false">
      <c r="B4" s="256"/>
      <c r="C4" s="257"/>
      <c r="D4" s="257"/>
      <c r="E4" s="257"/>
      <c r="F4" s="257"/>
      <c r="G4" s="257"/>
      <c r="Z4" s="258"/>
    </row>
    <row r="5" s="42" customFormat="true" ht="24.75" hidden="false" customHeight="true" outlineLevel="0" collapsed="false">
      <c r="B5" s="259"/>
      <c r="C5" s="260" t="s">
        <v>541</v>
      </c>
      <c r="D5" s="260"/>
      <c r="E5" s="260"/>
      <c r="F5" s="260"/>
      <c r="G5" s="261" t="str">
        <f aca="false">공사정보_출력X!C2</f>
        <v>(예시) OO부대 시설물 보수공사</v>
      </c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2"/>
    </row>
    <row r="6" s="42" customFormat="true" ht="24.75" hidden="false" customHeight="true" outlineLevel="0" collapsed="false">
      <c r="B6" s="259"/>
      <c r="C6" s="263" t="str">
        <f aca="false">'5-2.안전관리비사용계획서'!C7:F7</f>
        <v>시공사</v>
      </c>
      <c r="D6" s="263"/>
      <c r="E6" s="263"/>
      <c r="F6" s="263"/>
      <c r="G6" s="360" t="str">
        <f aca="false">공사정보_출력X!C6</f>
        <v>주식회사 가상건설</v>
      </c>
      <c r="H6" s="360"/>
      <c r="I6" s="360"/>
      <c r="J6" s="360"/>
      <c r="K6" s="360"/>
      <c r="L6" s="360"/>
      <c r="M6" s="360"/>
      <c r="N6" s="360"/>
      <c r="O6" s="265" t="s">
        <v>542</v>
      </c>
      <c r="P6" s="265"/>
      <c r="Q6" s="265"/>
      <c r="R6" s="265"/>
      <c r="S6" s="266" t="str">
        <f aca="false">공사정보_출력X!C7</f>
        <v>홍길동</v>
      </c>
      <c r="T6" s="266"/>
      <c r="U6" s="266"/>
      <c r="V6" s="266"/>
      <c r="W6" s="266"/>
      <c r="X6" s="266"/>
      <c r="Y6" s="266"/>
      <c r="Z6" s="262"/>
    </row>
    <row r="7" s="42" customFormat="true" ht="24.75" hidden="false" customHeight="true" outlineLevel="0" collapsed="false">
      <c r="B7" s="259"/>
      <c r="C7" s="263" t="s">
        <v>543</v>
      </c>
      <c r="D7" s="263"/>
      <c r="E7" s="263"/>
      <c r="F7" s="263"/>
      <c r="G7" s="361" t="str">
        <f aca="false">공사정보_출력X!E6</f>
        <v>OO도 OO시 OO구 OO로 00 (OO동) OOO호</v>
      </c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262"/>
    </row>
    <row r="8" s="42" customFormat="true" ht="24.75" hidden="false" customHeight="true" outlineLevel="0" collapsed="false">
      <c r="B8" s="259"/>
      <c r="C8" s="263" t="s">
        <v>131</v>
      </c>
      <c r="D8" s="263"/>
      <c r="E8" s="263"/>
      <c r="F8" s="263"/>
      <c r="G8" s="362"/>
      <c r="H8" s="363" t="n">
        <f aca="false">공사정보_출력X!C11</f>
        <v>46029</v>
      </c>
      <c r="I8" s="363"/>
      <c r="J8" s="363"/>
      <c r="K8" s="363"/>
      <c r="L8" s="363"/>
      <c r="M8" s="363"/>
      <c r="N8" s="364" t="s">
        <v>132</v>
      </c>
      <c r="O8" s="365" t="n">
        <f aca="false">공사정보_출력X!C12</f>
        <v>46073</v>
      </c>
      <c r="P8" s="365"/>
      <c r="Q8" s="365"/>
      <c r="R8" s="365"/>
      <c r="S8" s="365"/>
      <c r="T8" s="365"/>
      <c r="U8" s="364"/>
      <c r="V8" s="364"/>
      <c r="W8" s="364"/>
      <c r="X8" s="364"/>
      <c r="Y8" s="366"/>
      <c r="Z8" s="262"/>
    </row>
    <row r="9" s="42" customFormat="true" ht="24.75" hidden="false" customHeight="true" outlineLevel="0" collapsed="false">
      <c r="B9" s="259"/>
      <c r="C9" s="263" t="s">
        <v>544</v>
      </c>
      <c r="D9" s="263"/>
      <c r="E9" s="263"/>
      <c r="F9" s="263"/>
      <c r="G9" s="273" t="str">
        <f aca="false">공사정보_출력X!C8</f>
        <v>OO부대</v>
      </c>
      <c r="H9" s="273"/>
      <c r="I9" s="273"/>
      <c r="J9" s="273"/>
      <c r="K9" s="273"/>
      <c r="L9" s="273"/>
      <c r="M9" s="273"/>
      <c r="N9" s="273"/>
      <c r="O9" s="265" t="s">
        <v>64</v>
      </c>
      <c r="P9" s="265"/>
      <c r="Q9" s="265"/>
      <c r="R9" s="265"/>
      <c r="S9" s="274" t="n">
        <f aca="false">공사정보_출력X!C9</f>
        <v>150000000</v>
      </c>
      <c r="T9" s="274"/>
      <c r="U9" s="274"/>
      <c r="V9" s="274"/>
      <c r="W9" s="274"/>
      <c r="X9" s="274"/>
      <c r="Y9" s="274"/>
      <c r="Z9" s="262"/>
    </row>
    <row r="10" s="42" customFormat="true" ht="31.5" hidden="false" customHeight="true" outlineLevel="0" collapsed="false">
      <c r="B10" s="259"/>
      <c r="C10" s="275" t="s">
        <v>706</v>
      </c>
      <c r="D10" s="275"/>
      <c r="E10" s="275"/>
      <c r="F10" s="275"/>
      <c r="G10" s="276" t="n">
        <v>800000</v>
      </c>
      <c r="H10" s="276"/>
      <c r="I10" s="276"/>
      <c r="J10" s="276"/>
      <c r="K10" s="276"/>
      <c r="L10" s="276"/>
      <c r="M10" s="276"/>
      <c r="N10" s="276"/>
      <c r="O10" s="367" t="s">
        <v>546</v>
      </c>
      <c r="P10" s="367"/>
      <c r="Q10" s="367"/>
      <c r="R10" s="367"/>
      <c r="S10" s="278"/>
      <c r="T10" s="278"/>
      <c r="U10" s="278"/>
      <c r="V10" s="278"/>
      <c r="W10" s="278"/>
      <c r="X10" s="278"/>
      <c r="Y10" s="278"/>
      <c r="Z10" s="262"/>
    </row>
    <row r="11" s="42" customFormat="true" ht="21.75" hidden="false" customHeight="true" outlineLevel="0" collapsed="false">
      <c r="B11" s="259"/>
      <c r="C11" s="279" t="s">
        <v>547</v>
      </c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80"/>
    </row>
    <row r="12" s="42" customFormat="true" ht="21.75" hidden="false" customHeight="true" outlineLevel="0" collapsed="false">
      <c r="B12" s="259"/>
      <c r="C12" s="281" t="s">
        <v>548</v>
      </c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2" t="s">
        <v>549</v>
      </c>
      <c r="P12" s="282"/>
      <c r="Q12" s="282"/>
      <c r="R12" s="282"/>
      <c r="S12" s="282"/>
      <c r="T12" s="282"/>
      <c r="U12" s="282"/>
      <c r="V12" s="283" t="s">
        <v>550</v>
      </c>
      <c r="W12" s="283"/>
      <c r="X12" s="283"/>
      <c r="Y12" s="283"/>
      <c r="Z12" s="284"/>
    </row>
    <row r="13" s="42" customFormat="true" ht="21.75" hidden="false" customHeight="true" outlineLevel="0" collapsed="false">
      <c r="B13" s="259"/>
      <c r="C13" s="368" t="s">
        <v>707</v>
      </c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286" t="n">
        <f aca="false">O43</f>
        <v>840000</v>
      </c>
      <c r="P13" s="286"/>
      <c r="Q13" s="286"/>
      <c r="R13" s="286"/>
      <c r="S13" s="286"/>
      <c r="T13" s="286"/>
      <c r="U13" s="286"/>
      <c r="V13" s="287"/>
      <c r="W13" s="287"/>
      <c r="X13" s="287"/>
      <c r="Y13" s="287"/>
      <c r="Z13" s="284"/>
    </row>
    <row r="14" s="42" customFormat="true" ht="21.75" hidden="false" customHeight="true" outlineLevel="0" collapsed="false">
      <c r="B14" s="259"/>
      <c r="C14" s="369" t="s">
        <v>708</v>
      </c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289" t="n">
        <f aca="false">O47</f>
        <v>0</v>
      </c>
      <c r="P14" s="289"/>
      <c r="Q14" s="289"/>
      <c r="R14" s="289"/>
      <c r="S14" s="289"/>
      <c r="T14" s="289"/>
      <c r="U14" s="289"/>
      <c r="V14" s="290"/>
      <c r="W14" s="290"/>
      <c r="X14" s="290"/>
      <c r="Y14" s="290"/>
      <c r="Z14" s="284"/>
    </row>
    <row r="15" s="42" customFormat="true" ht="21.75" hidden="false" customHeight="true" outlineLevel="0" collapsed="false">
      <c r="B15" s="259"/>
      <c r="C15" s="369" t="s">
        <v>709</v>
      </c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289" t="n">
        <f aca="false">O51</f>
        <v>0</v>
      </c>
      <c r="P15" s="289"/>
      <c r="Q15" s="289"/>
      <c r="R15" s="289"/>
      <c r="S15" s="289"/>
      <c r="T15" s="289"/>
      <c r="U15" s="289"/>
      <c r="V15" s="290"/>
      <c r="W15" s="290"/>
      <c r="X15" s="290"/>
      <c r="Y15" s="290"/>
      <c r="Z15" s="284"/>
    </row>
    <row r="16" s="42" customFormat="true" ht="21.75" hidden="false" customHeight="true" outlineLevel="0" collapsed="false">
      <c r="B16" s="259"/>
      <c r="C16" s="369" t="s">
        <v>710</v>
      </c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289" t="n">
        <f aca="false">O55</f>
        <v>0</v>
      </c>
      <c r="P16" s="289"/>
      <c r="Q16" s="289"/>
      <c r="R16" s="289"/>
      <c r="S16" s="289"/>
      <c r="T16" s="289"/>
      <c r="U16" s="289"/>
      <c r="V16" s="290"/>
      <c r="W16" s="290"/>
      <c r="X16" s="290"/>
      <c r="Y16" s="290"/>
      <c r="Z16" s="284"/>
    </row>
    <row r="17" s="42" customFormat="true" ht="21.75" hidden="false" customHeight="true" outlineLevel="0" collapsed="false">
      <c r="B17" s="259"/>
      <c r="C17" s="369" t="s">
        <v>711</v>
      </c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289" t="n">
        <f aca="false">O58</f>
        <v>0</v>
      </c>
      <c r="P17" s="289"/>
      <c r="Q17" s="289"/>
      <c r="R17" s="289"/>
      <c r="S17" s="289"/>
      <c r="T17" s="289"/>
      <c r="U17" s="289"/>
      <c r="V17" s="290"/>
      <c r="W17" s="290"/>
      <c r="X17" s="290"/>
      <c r="Y17" s="290"/>
      <c r="Z17" s="284"/>
    </row>
    <row r="18" s="42" customFormat="true" ht="21.75" hidden="false" customHeight="true" outlineLevel="0" collapsed="false">
      <c r="B18" s="259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9"/>
      <c r="P18" s="289"/>
      <c r="Q18" s="289"/>
      <c r="R18" s="289"/>
      <c r="S18" s="289"/>
      <c r="T18" s="289"/>
      <c r="U18" s="289"/>
      <c r="V18" s="290"/>
      <c r="W18" s="290"/>
      <c r="X18" s="290"/>
      <c r="Y18" s="290"/>
      <c r="Z18" s="284"/>
    </row>
    <row r="19" s="42" customFormat="true" ht="21.75" hidden="false" customHeight="true" outlineLevel="0" collapsed="false">
      <c r="B19" s="259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9"/>
      <c r="P19" s="289"/>
      <c r="Q19" s="289"/>
      <c r="R19" s="289"/>
      <c r="S19" s="289"/>
      <c r="T19" s="289"/>
      <c r="U19" s="289"/>
      <c r="V19" s="290"/>
      <c r="W19" s="290"/>
      <c r="X19" s="290"/>
      <c r="Y19" s="290"/>
      <c r="Z19" s="284"/>
    </row>
    <row r="20" s="42" customFormat="true" ht="21.75" hidden="false" customHeight="true" outlineLevel="0" collapsed="false">
      <c r="B20" s="259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9"/>
      <c r="P20" s="289"/>
      <c r="Q20" s="289"/>
      <c r="R20" s="289"/>
      <c r="S20" s="289"/>
      <c r="T20" s="289"/>
      <c r="U20" s="289"/>
      <c r="V20" s="290"/>
      <c r="W20" s="290"/>
      <c r="X20" s="290"/>
      <c r="Y20" s="290"/>
      <c r="Z20" s="284"/>
    </row>
    <row r="21" s="42" customFormat="true" ht="21.75" hidden="false" customHeight="true" outlineLevel="0" collapsed="false">
      <c r="B21" s="259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2"/>
      <c r="P21" s="292"/>
      <c r="Q21" s="292"/>
      <c r="R21" s="292"/>
      <c r="S21" s="292"/>
      <c r="T21" s="292"/>
      <c r="U21" s="292"/>
      <c r="V21" s="293"/>
      <c r="W21" s="293"/>
      <c r="X21" s="293"/>
      <c r="Y21" s="293"/>
      <c r="Z21" s="284"/>
    </row>
    <row r="22" s="42" customFormat="true" ht="26.25" hidden="false" customHeight="true" outlineLevel="0" collapsed="false">
      <c r="B22" s="259"/>
      <c r="C22" s="294" t="s">
        <v>557</v>
      </c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5" t="n">
        <f aca="false">SUM(O13:U21)</f>
        <v>840000</v>
      </c>
      <c r="P22" s="295"/>
      <c r="Q22" s="295"/>
      <c r="R22" s="295"/>
      <c r="S22" s="295"/>
      <c r="T22" s="295"/>
      <c r="U22" s="295"/>
      <c r="V22" s="296"/>
      <c r="W22" s="296"/>
      <c r="X22" s="296"/>
      <c r="Y22" s="296"/>
      <c r="Z22" s="284"/>
    </row>
    <row r="23" s="42" customFormat="true" ht="21.75" hidden="false" customHeight="true" outlineLevel="0" collapsed="false">
      <c r="B23" s="259"/>
      <c r="C23" s="34"/>
      <c r="D23" s="34"/>
      <c r="W23" s="34"/>
      <c r="X23" s="34"/>
      <c r="Y23" s="34"/>
      <c r="Z23" s="284"/>
    </row>
    <row r="24" s="42" customFormat="true" ht="33" hidden="false" customHeight="true" outlineLevel="0" collapsed="false">
      <c r="B24" s="259"/>
      <c r="C24" s="298" t="s">
        <v>712</v>
      </c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9"/>
    </row>
    <row r="25" s="42" customFormat="true" ht="21.75" hidden="false" customHeight="true" outlineLevel="0" collapsed="false">
      <c r="B25" s="259"/>
      <c r="C25" s="34"/>
      <c r="D25" s="34"/>
      <c r="E25" s="34"/>
      <c r="F25" s="34"/>
      <c r="G25" s="34"/>
      <c r="Z25" s="284"/>
    </row>
    <row r="26" s="42" customFormat="true" ht="21.75" hidden="false" customHeight="true" outlineLevel="0" collapsed="false">
      <c r="B26" s="300" t="n">
        <f aca="false">'5-2.안전관리비사용계획서'!B25:AA25</f>
        <v>46035</v>
      </c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 s="42" customFormat="true" ht="21.75" hidden="false" customHeight="true" outlineLevel="0" collapsed="false">
      <c r="B27" s="259"/>
      <c r="C27" s="35"/>
      <c r="D27" s="35"/>
      <c r="E27" s="35"/>
      <c r="F27" s="35"/>
      <c r="G27" s="35"/>
      <c r="H27" s="302"/>
      <c r="I27" s="302"/>
      <c r="J27" s="302"/>
      <c r="K27" s="54"/>
      <c r="L27" s="54"/>
      <c r="W27" s="54"/>
      <c r="X27" s="54"/>
      <c r="Y27" s="54"/>
      <c r="Z27" s="262"/>
    </row>
    <row r="28" s="42" customFormat="true" ht="21.75" hidden="false" customHeight="true" outlineLevel="0" collapsed="false">
      <c r="B28" s="259"/>
      <c r="C28" s="35"/>
      <c r="D28" s="35"/>
      <c r="E28" s="35"/>
      <c r="F28" s="35"/>
      <c r="G28" s="35"/>
      <c r="H28" s="302"/>
      <c r="I28" s="302"/>
      <c r="J28" s="302"/>
      <c r="K28" s="54"/>
      <c r="L28" s="54"/>
      <c r="Z28" s="284"/>
    </row>
    <row r="29" s="42" customFormat="true" ht="21.75" hidden="false" customHeight="true" outlineLevel="0" collapsed="false">
      <c r="B29" s="259"/>
      <c r="C29" s="34"/>
      <c r="D29" s="34"/>
      <c r="E29" s="34"/>
      <c r="F29" s="67" t="s">
        <v>23</v>
      </c>
      <c r="G29" s="67"/>
      <c r="H29" s="67"/>
      <c r="I29" s="67"/>
      <c r="J29" s="54" t="s">
        <v>63</v>
      </c>
      <c r="K29" s="370" t="str">
        <f aca="false">공사정보_출력X!E6</f>
        <v>OO도 OO시 OO구 OO로 00 (OO동) OOO호</v>
      </c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="42" customFormat="true" ht="21.75" hidden="false" customHeight="true" outlineLevel="0" collapsed="false">
      <c r="B30" s="259"/>
      <c r="C30" s="34"/>
      <c r="D30" s="34"/>
      <c r="E30" s="34"/>
      <c r="F30" s="67" t="s">
        <v>75</v>
      </c>
      <c r="G30" s="67"/>
      <c r="H30" s="67"/>
      <c r="I30" s="67"/>
      <c r="J30" s="54" t="s">
        <v>63</v>
      </c>
      <c r="K30" s="80" t="str">
        <f aca="false">공사정보_출력X!C6</f>
        <v>주식회사 가상건설</v>
      </c>
      <c r="L30" s="80"/>
      <c r="M30" s="80"/>
      <c r="N30" s="80"/>
      <c r="O30" s="80"/>
      <c r="P30" s="80"/>
      <c r="Q30" s="80"/>
      <c r="R30" s="80"/>
      <c r="Z30" s="284"/>
    </row>
    <row r="31" s="42" customFormat="true" ht="21.75" hidden="false" customHeight="true" outlineLevel="0" collapsed="false">
      <c r="B31" s="259"/>
      <c r="C31" s="34"/>
      <c r="D31" s="34"/>
      <c r="E31" s="34"/>
      <c r="F31" s="67" t="s">
        <v>85</v>
      </c>
      <c r="G31" s="67"/>
      <c r="H31" s="67"/>
      <c r="I31" s="67"/>
      <c r="J31" s="54" t="s">
        <v>63</v>
      </c>
      <c r="K31" s="80" t="str">
        <f aca="false">공사정보_출력X!C7</f>
        <v>홍길동</v>
      </c>
      <c r="L31" s="80"/>
      <c r="M31" s="80"/>
      <c r="N31" s="80"/>
      <c r="O31" s="80"/>
      <c r="P31" s="81" t="s">
        <v>76</v>
      </c>
      <c r="Z31" s="284"/>
    </row>
    <row r="32" s="42" customFormat="true" ht="21.75" hidden="false" customHeight="true" outlineLevel="0" collapsed="false">
      <c r="B32" s="305"/>
      <c r="C32" s="306"/>
      <c r="D32" s="306"/>
      <c r="E32" s="306"/>
      <c r="F32" s="306"/>
      <c r="G32" s="306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11"/>
    </row>
    <row r="33" s="42" customFormat="true" ht="15" hidden="false" customHeight="true" outlineLevel="0" collapsed="false"/>
    <row r="34" s="42" customFormat="true" ht="15" hidden="false" customHeight="true" outlineLevel="0" collapsed="false"/>
    <row r="35" s="42" customFormat="true" ht="15" hidden="false" customHeight="true" outlineLevel="0" collapsed="false"/>
    <row r="36" s="42" customFormat="true" ht="15" hidden="false" customHeight="true" outlineLevel="0" collapsed="false">
      <c r="B36" s="371" t="s">
        <v>713</v>
      </c>
      <c r="C36" s="34"/>
      <c r="D36" s="34"/>
      <c r="E36" s="372"/>
      <c r="F36" s="372"/>
      <c r="G36" s="372"/>
    </row>
    <row r="37" s="42" customFormat="true" ht="15" hidden="false" customHeight="true" outlineLevel="0" collapsed="false">
      <c r="B37" s="34"/>
      <c r="C37" s="34"/>
      <c r="D37" s="34"/>
      <c r="E37" s="372"/>
      <c r="F37" s="372"/>
      <c r="G37" s="372"/>
    </row>
    <row r="38" s="42" customFormat="true" ht="19.5" hidden="false" customHeight="true" outlineLevel="0" collapsed="false">
      <c r="B38" s="314" t="s">
        <v>561</v>
      </c>
      <c r="C38" s="314"/>
      <c r="D38" s="314"/>
      <c r="E38" s="314"/>
      <c r="F38" s="314"/>
      <c r="G38" s="314"/>
      <c r="H38" s="314"/>
      <c r="I38" s="314"/>
      <c r="J38" s="315" t="s">
        <v>562</v>
      </c>
      <c r="K38" s="315"/>
      <c r="L38" s="315"/>
      <c r="M38" s="315"/>
      <c r="N38" s="315"/>
      <c r="O38" s="316" t="s">
        <v>563</v>
      </c>
      <c r="P38" s="316"/>
      <c r="Q38" s="316"/>
      <c r="R38" s="316"/>
      <c r="S38" s="316" t="s">
        <v>564</v>
      </c>
      <c r="T38" s="316"/>
      <c r="U38" s="316" t="s">
        <v>565</v>
      </c>
      <c r="V38" s="316"/>
      <c r="W38" s="316"/>
      <c r="X38" s="316"/>
      <c r="Y38" s="316" t="s">
        <v>225</v>
      </c>
      <c r="Z38" s="316"/>
    </row>
    <row r="39" s="42" customFormat="true" ht="19.5" hidden="false" customHeight="true" outlineLevel="0" collapsed="false">
      <c r="B39" s="373" t="str">
        <f aca="false">C13</f>
        <v>1. 환경보전시설 설치 및 운영비용</v>
      </c>
      <c r="C39" s="373"/>
      <c r="D39" s="373"/>
      <c r="E39" s="373"/>
      <c r="F39" s="373"/>
      <c r="G39" s="373"/>
      <c r="H39" s="373"/>
      <c r="I39" s="373"/>
      <c r="J39" s="374" t="s">
        <v>714</v>
      </c>
      <c r="K39" s="374"/>
      <c r="L39" s="374"/>
      <c r="M39" s="374"/>
      <c r="N39" s="374"/>
      <c r="O39" s="319" t="n">
        <v>300000</v>
      </c>
      <c r="P39" s="319"/>
      <c r="Q39" s="319"/>
      <c r="R39" s="319"/>
      <c r="S39" s="319" t="n">
        <v>1</v>
      </c>
      <c r="T39" s="319"/>
      <c r="U39" s="319" t="n">
        <f aca="false">O39*S39</f>
        <v>300000</v>
      </c>
      <c r="V39" s="319"/>
      <c r="W39" s="319"/>
      <c r="X39" s="319"/>
      <c r="Y39" s="319"/>
      <c r="Z39" s="319"/>
    </row>
    <row r="40" s="42" customFormat="true" ht="19.5" hidden="false" customHeight="true" outlineLevel="0" collapsed="false">
      <c r="B40" s="373"/>
      <c r="C40" s="373"/>
      <c r="D40" s="373"/>
      <c r="E40" s="373"/>
      <c r="F40" s="373"/>
      <c r="G40" s="373"/>
      <c r="H40" s="373"/>
      <c r="I40" s="373"/>
      <c r="J40" s="374" t="s">
        <v>715</v>
      </c>
      <c r="K40" s="374"/>
      <c r="L40" s="374"/>
      <c r="M40" s="374"/>
      <c r="N40" s="374"/>
      <c r="O40" s="319" t="n">
        <v>180000</v>
      </c>
      <c r="P40" s="319"/>
      <c r="Q40" s="319"/>
      <c r="R40" s="319"/>
      <c r="S40" s="319" t="n">
        <v>3</v>
      </c>
      <c r="T40" s="319"/>
      <c r="U40" s="319" t="n">
        <f aca="false">S40*O40</f>
        <v>540000</v>
      </c>
      <c r="V40" s="319"/>
      <c r="W40" s="319"/>
      <c r="X40" s="319"/>
      <c r="Y40" s="319"/>
      <c r="Z40" s="319"/>
    </row>
    <row r="41" s="42" customFormat="true" ht="19.5" hidden="false" customHeight="true" outlineLevel="0" collapsed="false">
      <c r="B41" s="325"/>
      <c r="C41" s="325"/>
      <c r="D41" s="325"/>
      <c r="E41" s="325"/>
      <c r="F41" s="325"/>
      <c r="G41" s="325"/>
      <c r="H41" s="325"/>
      <c r="I41" s="325"/>
      <c r="J41" s="375"/>
      <c r="K41" s="375"/>
      <c r="L41" s="375"/>
      <c r="M41" s="375"/>
      <c r="N41" s="375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22"/>
      <c r="Z41" s="322"/>
    </row>
    <row r="42" s="42" customFormat="true" ht="24.75" hidden="false" customHeight="true" outlineLevel="0" collapsed="false">
      <c r="B42" s="320"/>
      <c r="C42" s="320"/>
      <c r="D42" s="320"/>
      <c r="E42" s="320"/>
      <c r="F42" s="320"/>
      <c r="G42" s="320"/>
      <c r="H42" s="320"/>
      <c r="I42" s="320"/>
      <c r="J42" s="321"/>
      <c r="K42" s="321"/>
      <c r="L42" s="321"/>
      <c r="M42" s="321"/>
      <c r="N42" s="321"/>
      <c r="O42" s="322"/>
      <c r="P42" s="322"/>
      <c r="Q42" s="322"/>
      <c r="R42" s="322"/>
      <c r="S42" s="322"/>
      <c r="T42" s="322"/>
      <c r="U42" s="322" t="n">
        <v>0</v>
      </c>
      <c r="V42" s="322"/>
      <c r="W42" s="322"/>
      <c r="X42" s="322"/>
      <c r="Y42" s="319"/>
      <c r="Z42" s="319"/>
    </row>
    <row r="43" s="42" customFormat="true" ht="24.75" hidden="false" customHeight="true" outlineLevel="0" collapsed="false">
      <c r="B43" s="323" t="s">
        <v>568</v>
      </c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4" t="n">
        <f aca="false">SUM(U39:X41)</f>
        <v>840000</v>
      </c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</row>
    <row r="44" s="42" customFormat="true" ht="24.75" hidden="false" customHeight="true" outlineLevel="0" collapsed="false">
      <c r="B44" s="376" t="str">
        <f aca="false">C14</f>
        <v>2. 환경계측비용</v>
      </c>
      <c r="C44" s="376"/>
      <c r="D44" s="376"/>
      <c r="E44" s="376"/>
      <c r="F44" s="376"/>
      <c r="G44" s="376"/>
      <c r="H44" s="376"/>
      <c r="I44" s="376"/>
      <c r="J44" s="318"/>
      <c r="K44" s="318"/>
      <c r="L44" s="318"/>
      <c r="M44" s="318"/>
      <c r="N44" s="318"/>
      <c r="O44" s="319" t="n">
        <v>0</v>
      </c>
      <c r="P44" s="319"/>
      <c r="Q44" s="319"/>
      <c r="R44" s="319"/>
      <c r="S44" s="319" t="n">
        <v>0</v>
      </c>
      <c r="T44" s="319"/>
      <c r="U44" s="319" t="n">
        <f aca="false">S44*O44</f>
        <v>0</v>
      </c>
      <c r="V44" s="319"/>
      <c r="W44" s="319"/>
      <c r="X44" s="319"/>
      <c r="Y44" s="319"/>
      <c r="Z44" s="319"/>
    </row>
    <row r="45" s="42" customFormat="true" ht="24.75" hidden="false" customHeight="true" outlineLevel="0" collapsed="false">
      <c r="B45" s="325"/>
      <c r="C45" s="325"/>
      <c r="D45" s="325"/>
      <c r="E45" s="325"/>
      <c r="F45" s="325"/>
      <c r="G45" s="325"/>
      <c r="H45" s="325"/>
      <c r="I45" s="325"/>
      <c r="J45" s="318"/>
      <c r="K45" s="318"/>
      <c r="L45" s="318"/>
      <c r="M45" s="318"/>
      <c r="N45" s="318"/>
      <c r="O45" s="319"/>
      <c r="P45" s="319"/>
      <c r="Q45" s="319"/>
      <c r="R45" s="319"/>
      <c r="S45" s="319"/>
      <c r="T45" s="319"/>
      <c r="U45" s="319" t="n">
        <f aca="false">S45*O45</f>
        <v>0</v>
      </c>
      <c r="V45" s="319"/>
      <c r="W45" s="319"/>
      <c r="X45" s="319"/>
      <c r="Y45" s="319"/>
      <c r="Z45" s="319"/>
    </row>
    <row r="46" s="42" customFormat="true" ht="24.75" hidden="false" customHeight="true" outlineLevel="0" collapsed="false">
      <c r="B46" s="320"/>
      <c r="C46" s="320"/>
      <c r="D46" s="320"/>
      <c r="E46" s="320"/>
      <c r="F46" s="320"/>
      <c r="G46" s="320"/>
      <c r="H46" s="320"/>
      <c r="I46" s="320"/>
      <c r="J46" s="321"/>
      <c r="K46" s="321"/>
      <c r="L46" s="321"/>
      <c r="M46" s="321"/>
      <c r="N46" s="321"/>
      <c r="O46" s="322"/>
      <c r="P46" s="322"/>
      <c r="Q46" s="322"/>
      <c r="R46" s="322"/>
      <c r="S46" s="322"/>
      <c r="T46" s="322"/>
      <c r="U46" s="322" t="n">
        <f aca="false">O46*S46</f>
        <v>0</v>
      </c>
      <c r="V46" s="322"/>
      <c r="W46" s="322"/>
      <c r="X46" s="322"/>
      <c r="Y46" s="319"/>
      <c r="Z46" s="319"/>
    </row>
    <row r="47" s="42" customFormat="true" ht="24.75" hidden="false" customHeight="true" outlineLevel="0" collapsed="false">
      <c r="B47" s="326" t="s">
        <v>568</v>
      </c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19" t="n">
        <f aca="false">SUM(U44:X46)</f>
        <v>0</v>
      </c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</row>
    <row r="48" s="42" customFormat="true" ht="24.75" hidden="false" customHeight="true" outlineLevel="0" collapsed="false">
      <c r="B48" s="377" t="str">
        <f aca="false">C15</f>
        <v>3. 환경자료 및 홍보물 구입비용</v>
      </c>
      <c r="C48" s="377"/>
      <c r="D48" s="377"/>
      <c r="E48" s="377"/>
      <c r="F48" s="377"/>
      <c r="G48" s="377"/>
      <c r="H48" s="377"/>
      <c r="I48" s="377"/>
      <c r="J48" s="328"/>
      <c r="K48" s="328"/>
      <c r="L48" s="328"/>
      <c r="M48" s="328"/>
      <c r="N48" s="328"/>
      <c r="O48" s="329" t="n">
        <v>0</v>
      </c>
      <c r="P48" s="329"/>
      <c r="Q48" s="329"/>
      <c r="R48" s="329"/>
      <c r="S48" s="329" t="n">
        <v>0</v>
      </c>
      <c r="T48" s="329"/>
      <c r="U48" s="329" t="n">
        <f aca="false">S48*O48</f>
        <v>0</v>
      </c>
      <c r="V48" s="329"/>
      <c r="W48" s="329"/>
      <c r="X48" s="329"/>
      <c r="Y48" s="329"/>
      <c r="Z48" s="329"/>
    </row>
    <row r="49" s="42" customFormat="true" ht="24.75" hidden="false" customHeight="true" outlineLevel="0" collapsed="false">
      <c r="B49" s="325"/>
      <c r="C49" s="325"/>
      <c r="D49" s="325"/>
      <c r="E49" s="325"/>
      <c r="F49" s="325"/>
      <c r="G49" s="325"/>
      <c r="H49" s="325"/>
      <c r="I49" s="325"/>
      <c r="J49" s="374"/>
      <c r="K49" s="374"/>
      <c r="L49" s="374"/>
      <c r="M49" s="374"/>
      <c r="N49" s="374"/>
      <c r="O49" s="319"/>
      <c r="P49" s="319"/>
      <c r="Q49" s="319"/>
      <c r="R49" s="319"/>
      <c r="S49" s="319"/>
      <c r="T49" s="319"/>
      <c r="U49" s="319" t="n">
        <f aca="false">S49*O49</f>
        <v>0</v>
      </c>
      <c r="V49" s="319"/>
      <c r="W49" s="319"/>
      <c r="X49" s="319"/>
      <c r="Y49" s="319"/>
      <c r="Z49" s="319"/>
    </row>
    <row r="50" s="42" customFormat="true" ht="24.75" hidden="false" customHeight="true" outlineLevel="0" collapsed="false">
      <c r="B50" s="320"/>
      <c r="C50" s="320"/>
      <c r="D50" s="320"/>
      <c r="E50" s="320"/>
      <c r="F50" s="320"/>
      <c r="G50" s="320"/>
      <c r="H50" s="320"/>
      <c r="I50" s="320"/>
      <c r="J50" s="321"/>
      <c r="K50" s="321"/>
      <c r="L50" s="321"/>
      <c r="M50" s="321"/>
      <c r="N50" s="321"/>
      <c r="O50" s="322"/>
      <c r="P50" s="322"/>
      <c r="Q50" s="322"/>
      <c r="R50" s="322"/>
      <c r="S50" s="322"/>
      <c r="T50" s="322"/>
      <c r="U50" s="322" t="n">
        <f aca="false">S50*O50</f>
        <v>0</v>
      </c>
      <c r="V50" s="322"/>
      <c r="W50" s="322"/>
      <c r="X50" s="322"/>
      <c r="Y50" s="319"/>
      <c r="Z50" s="319"/>
    </row>
    <row r="51" s="42" customFormat="true" ht="24.75" hidden="false" customHeight="true" outlineLevel="0" collapsed="false">
      <c r="B51" s="323" t="s">
        <v>568</v>
      </c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4" t="n">
        <f aca="false">SUM(U48:X50)</f>
        <v>0</v>
      </c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</row>
    <row r="52" s="42" customFormat="true" ht="24.75" hidden="false" customHeight="true" outlineLevel="0" collapsed="false">
      <c r="B52" s="377" t="str">
        <f aca="false">C16</f>
        <v>4. 환경관련 인건비용</v>
      </c>
      <c r="C52" s="377"/>
      <c r="D52" s="377"/>
      <c r="E52" s="377"/>
      <c r="F52" s="377"/>
      <c r="G52" s="377"/>
      <c r="H52" s="377"/>
      <c r="I52" s="377"/>
      <c r="J52" s="328"/>
      <c r="K52" s="328"/>
      <c r="L52" s="328"/>
      <c r="M52" s="328"/>
      <c r="N52" s="328"/>
      <c r="O52" s="329" t="n">
        <v>0</v>
      </c>
      <c r="P52" s="329"/>
      <c r="Q52" s="329"/>
      <c r="R52" s="329"/>
      <c r="S52" s="329" t="n">
        <v>0</v>
      </c>
      <c r="T52" s="329"/>
      <c r="U52" s="329" t="n">
        <f aca="false">S52*O52</f>
        <v>0</v>
      </c>
      <c r="V52" s="329"/>
      <c r="W52" s="329"/>
      <c r="X52" s="329"/>
      <c r="Y52" s="319"/>
      <c r="Z52" s="319"/>
    </row>
    <row r="53" s="42" customFormat="true" ht="24.75" hidden="false" customHeight="true" outlineLevel="0" collapsed="false">
      <c r="B53" s="376"/>
      <c r="C53" s="376"/>
      <c r="D53" s="376"/>
      <c r="E53" s="376"/>
      <c r="F53" s="376"/>
      <c r="G53" s="376"/>
      <c r="H53" s="376"/>
      <c r="I53" s="376"/>
      <c r="J53" s="374"/>
      <c r="K53" s="374"/>
      <c r="L53" s="374"/>
      <c r="M53" s="374"/>
      <c r="N53" s="374"/>
      <c r="O53" s="319"/>
      <c r="P53" s="319"/>
      <c r="Q53" s="319"/>
      <c r="R53" s="319"/>
      <c r="S53" s="319"/>
      <c r="T53" s="319"/>
      <c r="U53" s="319" t="n">
        <f aca="false">S53*O53</f>
        <v>0</v>
      </c>
      <c r="V53" s="319"/>
      <c r="W53" s="319"/>
      <c r="X53" s="319"/>
      <c r="Y53" s="319"/>
      <c r="Z53" s="319"/>
    </row>
    <row r="54" s="42" customFormat="true" ht="24.75" hidden="false" customHeight="true" outlineLevel="0" collapsed="false">
      <c r="B54" s="378"/>
      <c r="C54" s="378"/>
      <c r="D54" s="378"/>
      <c r="E54" s="378"/>
      <c r="F54" s="378"/>
      <c r="G54" s="378"/>
      <c r="H54" s="378"/>
      <c r="I54" s="378"/>
      <c r="J54" s="379"/>
      <c r="K54" s="379"/>
      <c r="L54" s="379"/>
      <c r="M54" s="379"/>
      <c r="N54" s="379"/>
      <c r="O54" s="322"/>
      <c r="P54" s="322"/>
      <c r="Q54" s="322"/>
      <c r="R54" s="322"/>
      <c r="S54" s="322"/>
      <c r="T54" s="322"/>
      <c r="U54" s="322" t="n">
        <f aca="false">S54*O54</f>
        <v>0</v>
      </c>
      <c r="V54" s="322"/>
      <c r="W54" s="322"/>
      <c r="X54" s="322"/>
      <c r="Y54" s="319"/>
      <c r="Z54" s="319"/>
    </row>
    <row r="55" s="42" customFormat="true" ht="24.75" hidden="false" customHeight="true" outlineLevel="0" collapsed="false">
      <c r="B55" s="326" t="s">
        <v>568</v>
      </c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19" t="n">
        <f aca="false">SUM(U52:X54)</f>
        <v>0</v>
      </c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</row>
    <row r="56" s="42" customFormat="true" ht="24.75" hidden="false" customHeight="true" outlineLevel="0" collapsed="false">
      <c r="B56" s="377" t="str">
        <f aca="false">C17</f>
        <v>5. 환경교육 비용</v>
      </c>
      <c r="C56" s="377"/>
      <c r="D56" s="377"/>
      <c r="E56" s="377"/>
      <c r="F56" s="377"/>
      <c r="G56" s="377"/>
      <c r="H56" s="377"/>
      <c r="I56" s="377"/>
      <c r="J56" s="328"/>
      <c r="K56" s="328"/>
      <c r="L56" s="328"/>
      <c r="M56" s="328"/>
      <c r="N56" s="328"/>
      <c r="O56" s="329" t="n">
        <v>0</v>
      </c>
      <c r="P56" s="329"/>
      <c r="Q56" s="329"/>
      <c r="R56" s="329"/>
      <c r="S56" s="329" t="n">
        <v>0</v>
      </c>
      <c r="T56" s="329"/>
      <c r="U56" s="329" t="n">
        <f aca="false">S56*O56</f>
        <v>0</v>
      </c>
      <c r="V56" s="329"/>
      <c r="W56" s="329"/>
      <c r="X56" s="329"/>
      <c r="Y56" s="329"/>
      <c r="Z56" s="329"/>
    </row>
    <row r="57" s="42" customFormat="true" ht="24.75" hidden="false" customHeight="true" outlineLevel="0" collapsed="false">
      <c r="B57" s="378"/>
      <c r="C57" s="378"/>
      <c r="D57" s="378"/>
      <c r="E57" s="378"/>
      <c r="F57" s="378"/>
      <c r="G57" s="378"/>
      <c r="H57" s="378"/>
      <c r="I57" s="378"/>
      <c r="J57" s="321"/>
      <c r="K57" s="321"/>
      <c r="L57" s="321"/>
      <c r="M57" s="321"/>
      <c r="N57" s="321"/>
      <c r="O57" s="322"/>
      <c r="P57" s="322"/>
      <c r="Q57" s="322"/>
      <c r="R57" s="322"/>
      <c r="S57" s="322"/>
      <c r="T57" s="322"/>
      <c r="U57" s="322" t="n">
        <f aca="false">S57*O57</f>
        <v>0</v>
      </c>
      <c r="V57" s="322"/>
      <c r="W57" s="322"/>
      <c r="X57" s="322"/>
      <c r="Y57" s="319"/>
      <c r="Z57" s="319"/>
    </row>
    <row r="58" s="42" customFormat="true" ht="24.75" hidden="false" customHeight="true" outlineLevel="0" collapsed="false">
      <c r="B58" s="332" t="s">
        <v>568</v>
      </c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3" t="n">
        <f aca="false">SUM(U56:X57)</f>
        <v>0</v>
      </c>
      <c r="P58" s="333"/>
      <c r="Q58" s="333"/>
      <c r="R58" s="333"/>
      <c r="S58" s="333"/>
      <c r="T58" s="333"/>
      <c r="U58" s="333"/>
      <c r="V58" s="333"/>
      <c r="W58" s="333"/>
      <c r="X58" s="333"/>
      <c r="Y58" s="333"/>
      <c r="Z58" s="333"/>
    </row>
    <row r="59" s="42" customFormat="true" ht="24.75" hidden="false" customHeight="true" outlineLevel="0" collapsed="false">
      <c r="B59" s="323" t="s">
        <v>585</v>
      </c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4" t="n">
        <f aca="false">O43+O47+O51+O55+O58</f>
        <v>840000</v>
      </c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</row>
    <row r="60" s="42" customFormat="true" ht="24" hidden="false" customHeight="true" outlineLevel="0" collapsed="false">
      <c r="B60" s="380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</row>
    <row r="61" s="42" customFormat="true" ht="24" hidden="false" customHeight="true" outlineLevel="0" collapsed="false">
      <c r="B61" s="380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</row>
    <row r="62" s="42" customFormat="true" ht="24" hidden="false" customHeight="true" outlineLevel="0" collapsed="false">
      <c r="B62" s="380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</row>
    <row r="63" s="42" customFormat="true" ht="24" hidden="false" customHeight="true" outlineLevel="0" collapsed="false">
      <c r="B63" s="380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</row>
    <row r="64" s="42" customFormat="true" ht="24" hidden="false" customHeight="true" outlineLevel="0" collapsed="false">
      <c r="B64" s="380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</row>
    <row r="65" s="42" customFormat="true" ht="24" hidden="false" customHeight="true" outlineLevel="0" collapsed="false">
      <c r="B65" s="380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</row>
    <row r="66" s="42" customFormat="true" ht="24" hidden="false" customHeight="true" outlineLevel="0" collapsed="false">
      <c r="B66" s="380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</row>
    <row r="67" s="42" customFormat="true" ht="24" hidden="false" customHeight="true" outlineLevel="0" collapsed="false">
      <c r="B67" s="380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</row>
    <row r="68" s="42" customFormat="true" ht="24" hidden="false" customHeight="true" outlineLevel="0" collapsed="false">
      <c r="B68" s="380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</row>
    <row r="69" s="42" customFormat="true" ht="24" hidden="false" customHeight="true" outlineLevel="0" collapsed="false">
      <c r="B69" s="380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</row>
    <row r="70" s="42" customFormat="true" ht="16.5" hidden="false" customHeight="true" outlineLevel="0" collapsed="false">
      <c r="B70" s="381"/>
    </row>
    <row r="71" s="42" customFormat="true" ht="16.5" hidden="false" customHeight="true" outlineLevel="0" collapsed="false">
      <c r="B71" s="381"/>
    </row>
    <row r="72" s="42" customFormat="true" ht="16.5" hidden="false" customHeight="true" outlineLevel="0" collapsed="false">
      <c r="B72" s="381"/>
    </row>
    <row r="73" s="42" customFormat="true" ht="16.5" hidden="false" customHeight="true" outlineLevel="0" collapsed="false">
      <c r="B73" s="381"/>
    </row>
    <row r="74" s="42" customFormat="true" ht="16.5" hidden="false" customHeight="true" outlineLevel="0" collapsed="false">
      <c r="B74" s="381"/>
    </row>
    <row r="75" s="42" customFormat="true" ht="16.5" hidden="false" customHeight="true" outlineLevel="0" collapsed="false">
      <c r="B75" s="381"/>
    </row>
    <row r="76" s="42" customFormat="true" ht="16.5" hidden="false" customHeight="true" outlineLevel="0" collapsed="false">
      <c r="B76" s="381"/>
    </row>
    <row r="77" customFormat="false" ht="16.5" hidden="false" customHeight="true" outlineLevel="0" collapsed="false">
      <c r="B77" s="196"/>
      <c r="C77" s="42"/>
      <c r="D77" s="42"/>
      <c r="E77" s="42"/>
      <c r="F77" s="42"/>
    </row>
    <row r="78" customFormat="false" ht="16.5" hidden="false" customHeight="true" outlineLevel="0" collapsed="false">
      <c r="B78" s="196"/>
      <c r="C78" s="42"/>
      <c r="D78" s="42"/>
      <c r="E78" s="42"/>
      <c r="F78" s="42"/>
    </row>
    <row r="79" customFormat="false" ht="16.5" hidden="false" customHeight="true" outlineLevel="0" collapsed="false">
      <c r="B79" s="196"/>
      <c r="C79" s="42"/>
      <c r="D79" s="42"/>
      <c r="E79" s="42"/>
      <c r="F79" s="42"/>
    </row>
    <row r="80" customFormat="false" ht="16.5" hidden="false" customHeight="true" outlineLevel="0" collapsed="false">
      <c r="B80" s="196"/>
      <c r="C80" s="42"/>
      <c r="D80" s="42"/>
      <c r="E80" s="42"/>
      <c r="F80" s="42"/>
    </row>
    <row r="81" customFormat="false" ht="16.5" hidden="false" customHeight="true" outlineLevel="0" collapsed="false">
      <c r="B81" s="196"/>
      <c r="C81" s="42"/>
      <c r="D81" s="42"/>
      <c r="E81" s="42"/>
      <c r="F81" s="42"/>
    </row>
    <row r="82" customFormat="false" ht="16.5" hidden="false" customHeight="true" outlineLevel="0" collapsed="false">
      <c r="B82" s="196"/>
      <c r="C82" s="42"/>
      <c r="D82" s="42"/>
      <c r="E82" s="42"/>
      <c r="F82" s="42"/>
    </row>
    <row r="83" customFormat="false" ht="16.5" hidden="false" customHeight="true" outlineLevel="0" collapsed="false">
      <c r="B83" s="196"/>
      <c r="C83" s="42"/>
      <c r="D83" s="42"/>
      <c r="E83" s="42"/>
      <c r="F83" s="42"/>
    </row>
    <row r="84" customFormat="false" ht="16.5" hidden="false" customHeight="true" outlineLevel="0" collapsed="false">
      <c r="B84" s="196"/>
      <c r="C84" s="42"/>
      <c r="D84" s="42"/>
      <c r="E84" s="42"/>
      <c r="F84" s="42"/>
    </row>
    <row r="85" customFormat="false" ht="16.5" hidden="false" customHeight="true" outlineLevel="0" collapsed="false">
      <c r="B85" s="196"/>
      <c r="C85" s="42"/>
      <c r="D85" s="42"/>
      <c r="E85" s="42"/>
      <c r="F85" s="42"/>
    </row>
    <row r="86" customFormat="false" ht="16.5" hidden="false" customHeight="true" outlineLevel="0" collapsed="false">
      <c r="B86" s="196"/>
      <c r="C86" s="42"/>
      <c r="D86" s="42"/>
      <c r="E86" s="42"/>
      <c r="F86" s="42"/>
    </row>
    <row r="87" customFormat="false" ht="16.5" hidden="false" customHeight="true" outlineLevel="0" collapsed="false">
      <c r="B87" s="196"/>
      <c r="C87" s="42"/>
      <c r="D87" s="42"/>
      <c r="E87" s="42"/>
      <c r="F87" s="42"/>
    </row>
    <row r="88" customFormat="false" ht="16.5" hidden="false" customHeight="true" outlineLevel="0" collapsed="false">
      <c r="B88" s="196"/>
      <c r="C88" s="42"/>
      <c r="D88" s="42"/>
      <c r="E88" s="42"/>
      <c r="F88" s="42"/>
    </row>
    <row r="89" customFormat="false" ht="16.5" hidden="false" customHeight="true" outlineLevel="0" collapsed="false">
      <c r="B89" s="196"/>
      <c r="C89" s="42"/>
      <c r="D89" s="42"/>
      <c r="E89" s="42"/>
      <c r="F89" s="42"/>
    </row>
    <row r="90" customFormat="false" ht="16.5" hidden="false" customHeight="true" outlineLevel="0" collapsed="false">
      <c r="B90" s="196"/>
      <c r="C90" s="42"/>
      <c r="D90" s="42"/>
      <c r="E90" s="42"/>
      <c r="F90" s="42"/>
    </row>
    <row r="91" customFormat="false" ht="16.5" hidden="false" customHeight="true" outlineLevel="0" collapsed="false">
      <c r="B91" s="196"/>
      <c r="C91" s="42"/>
      <c r="D91" s="42"/>
      <c r="E91" s="42"/>
      <c r="F91" s="42"/>
    </row>
    <row r="92" customFormat="false" ht="16.5" hidden="false" customHeight="true" outlineLevel="0" collapsed="false">
      <c r="B92" s="196"/>
      <c r="C92" s="42"/>
      <c r="D92" s="42"/>
      <c r="E92" s="42"/>
      <c r="F92" s="42"/>
    </row>
    <row r="93" customFormat="false" ht="16.5" hidden="false" customHeight="true" outlineLevel="0" collapsed="false">
      <c r="B93" s="196"/>
      <c r="C93" s="42"/>
      <c r="D93" s="42"/>
      <c r="E93" s="42"/>
      <c r="F93" s="42"/>
    </row>
    <row r="94" customFormat="false" ht="16.5" hidden="false" customHeight="true" outlineLevel="0" collapsed="false">
      <c r="B94" s="196"/>
      <c r="C94" s="42"/>
      <c r="D94" s="42"/>
      <c r="E94" s="42"/>
      <c r="F94" s="42"/>
    </row>
    <row r="95" customFormat="false" ht="16.5" hidden="false" customHeight="true" outlineLevel="0" collapsed="false">
      <c r="B95" s="196"/>
      <c r="C95" s="42"/>
      <c r="D95" s="42"/>
      <c r="E95" s="42"/>
      <c r="F95" s="42"/>
    </row>
    <row r="96" customFormat="false" ht="16.5" hidden="false" customHeight="true" outlineLevel="0" collapsed="false">
      <c r="B96" s="196"/>
      <c r="C96" s="42"/>
      <c r="D96" s="42"/>
      <c r="E96" s="42"/>
      <c r="F96" s="42"/>
    </row>
    <row r="97" customFormat="false" ht="16.5" hidden="false" customHeight="true" outlineLevel="0" collapsed="false">
      <c r="B97" s="196"/>
      <c r="C97" s="42"/>
      <c r="D97" s="42"/>
      <c r="E97" s="42"/>
      <c r="F97" s="42"/>
    </row>
    <row r="98" customFormat="false" ht="16.5" hidden="false" customHeight="true" outlineLevel="0" collapsed="false">
      <c r="B98" s="196"/>
      <c r="C98" s="42"/>
      <c r="D98" s="42"/>
      <c r="E98" s="42"/>
      <c r="F98" s="42"/>
    </row>
    <row r="99" customFormat="false" ht="16.5" hidden="false" customHeight="true" outlineLevel="0" collapsed="false">
      <c r="B99" s="196"/>
      <c r="C99" s="42"/>
      <c r="D99" s="42"/>
      <c r="E99" s="42"/>
      <c r="F99" s="42"/>
    </row>
    <row r="100" customFormat="false" ht="16.5" hidden="false" customHeight="true" outlineLevel="0" collapsed="false">
      <c r="B100" s="196"/>
      <c r="C100" s="42"/>
      <c r="D100" s="42"/>
      <c r="E100" s="42"/>
      <c r="F100" s="42"/>
    </row>
    <row r="101" customFormat="false" ht="16.5" hidden="false" customHeight="true" outlineLevel="0" collapsed="false">
      <c r="B101" s="196"/>
      <c r="C101" s="42"/>
      <c r="D101" s="42"/>
      <c r="E101" s="42"/>
      <c r="F101" s="42"/>
    </row>
    <row r="102" customFormat="false" ht="16.5" hidden="false" customHeight="true" outlineLevel="0" collapsed="false">
      <c r="B102" s="196"/>
      <c r="C102" s="42"/>
      <c r="D102" s="42"/>
      <c r="E102" s="42"/>
      <c r="F102" s="42"/>
    </row>
    <row r="103" customFormat="false" ht="16.5" hidden="false" customHeight="true" outlineLevel="0" collapsed="false">
      <c r="B103" s="196"/>
      <c r="C103" s="42"/>
      <c r="D103" s="42"/>
      <c r="E103" s="42"/>
      <c r="F103" s="42"/>
    </row>
    <row r="104" customFormat="false" ht="16.5" hidden="false" customHeight="true" outlineLevel="0" collapsed="false">
      <c r="B104" s="196"/>
      <c r="C104" s="42"/>
      <c r="D104" s="42"/>
      <c r="E104" s="42"/>
      <c r="F104" s="42"/>
    </row>
    <row r="105" customFormat="false" ht="16.5" hidden="false" customHeight="true" outlineLevel="0" collapsed="false">
      <c r="B105" s="196"/>
      <c r="C105" s="42"/>
      <c r="D105" s="42"/>
      <c r="E105" s="42"/>
      <c r="F105" s="42"/>
    </row>
    <row r="106" customFormat="false" ht="16.5" hidden="false" customHeight="true" outlineLevel="0" collapsed="false">
      <c r="B106" s="196"/>
      <c r="C106" s="42"/>
      <c r="D106" s="42"/>
      <c r="E106" s="42"/>
      <c r="F106" s="42"/>
    </row>
    <row r="107" customFormat="false" ht="16.5" hidden="false" customHeight="true" outlineLevel="0" collapsed="false">
      <c r="B107" s="196"/>
      <c r="C107" s="42"/>
      <c r="D107" s="42"/>
      <c r="E107" s="42"/>
      <c r="F107" s="42"/>
    </row>
  </sheetData>
  <mergeCells count="177">
    <mergeCell ref="B3:Z3"/>
    <mergeCell ref="C5:F5"/>
    <mergeCell ref="G5:Y5"/>
    <mergeCell ref="C6:F6"/>
    <mergeCell ref="G6:N6"/>
    <mergeCell ref="O6:R6"/>
    <mergeCell ref="S6:Y6"/>
    <mergeCell ref="C7:F7"/>
    <mergeCell ref="G7:Y7"/>
    <mergeCell ref="C8:F8"/>
    <mergeCell ref="H8:M8"/>
    <mergeCell ref="O8:T8"/>
    <mergeCell ref="C9:F9"/>
    <mergeCell ref="G9:N9"/>
    <mergeCell ref="O9:R9"/>
    <mergeCell ref="S9:Y9"/>
    <mergeCell ref="C10:F10"/>
    <mergeCell ref="G10:N10"/>
    <mergeCell ref="O10:R10"/>
    <mergeCell ref="S10:Y10"/>
    <mergeCell ref="C11:Y11"/>
    <mergeCell ref="C12:N12"/>
    <mergeCell ref="O12:U12"/>
    <mergeCell ref="V12:Y12"/>
    <mergeCell ref="C13:N13"/>
    <mergeCell ref="O13:U13"/>
    <mergeCell ref="V13:Y13"/>
    <mergeCell ref="C14:N14"/>
    <mergeCell ref="O14:U14"/>
    <mergeCell ref="V14:Y14"/>
    <mergeCell ref="C15:N15"/>
    <mergeCell ref="O15:U15"/>
    <mergeCell ref="V15:Y15"/>
    <mergeCell ref="C16:N16"/>
    <mergeCell ref="O16:U16"/>
    <mergeCell ref="V16:Y16"/>
    <mergeCell ref="C17:N17"/>
    <mergeCell ref="O17:U17"/>
    <mergeCell ref="V17:Y17"/>
    <mergeCell ref="C18:N18"/>
    <mergeCell ref="O18:U18"/>
    <mergeCell ref="V18:Y18"/>
    <mergeCell ref="C19:N19"/>
    <mergeCell ref="O19:U19"/>
    <mergeCell ref="V19:Y19"/>
    <mergeCell ref="C20:N20"/>
    <mergeCell ref="O20:U20"/>
    <mergeCell ref="V20:Y20"/>
    <mergeCell ref="C21:N21"/>
    <mergeCell ref="O21:U21"/>
    <mergeCell ref="V21:Y21"/>
    <mergeCell ref="C22:N22"/>
    <mergeCell ref="O22:U22"/>
    <mergeCell ref="V22:Y22"/>
    <mergeCell ref="C24:Y24"/>
    <mergeCell ref="B26:Z26"/>
    <mergeCell ref="H27:J27"/>
    <mergeCell ref="H28:J28"/>
    <mergeCell ref="F29:I29"/>
    <mergeCell ref="K29:Z29"/>
    <mergeCell ref="F30:I30"/>
    <mergeCell ref="K30:R30"/>
    <mergeCell ref="F31:I31"/>
    <mergeCell ref="K31:O31"/>
    <mergeCell ref="B38:I38"/>
    <mergeCell ref="J38:N38"/>
    <mergeCell ref="O38:R38"/>
    <mergeCell ref="S38:T38"/>
    <mergeCell ref="U38:X38"/>
    <mergeCell ref="Y38:Z38"/>
    <mergeCell ref="B39:I40"/>
    <mergeCell ref="J39:N39"/>
    <mergeCell ref="O39:R39"/>
    <mergeCell ref="S39:T39"/>
    <mergeCell ref="U39:X39"/>
    <mergeCell ref="Y39:Z39"/>
    <mergeCell ref="J40:N40"/>
    <mergeCell ref="O40:R40"/>
    <mergeCell ref="S40:T40"/>
    <mergeCell ref="U40:X40"/>
    <mergeCell ref="Y40:Z40"/>
    <mergeCell ref="B41:I41"/>
    <mergeCell ref="J41:N41"/>
    <mergeCell ref="O41:R41"/>
    <mergeCell ref="S41:T41"/>
    <mergeCell ref="U41:X41"/>
    <mergeCell ref="Y41:Z41"/>
    <mergeCell ref="B42:I42"/>
    <mergeCell ref="J42:N42"/>
    <mergeCell ref="O42:R42"/>
    <mergeCell ref="S42:T42"/>
    <mergeCell ref="U42:X42"/>
    <mergeCell ref="Y42:Z42"/>
    <mergeCell ref="B43:N43"/>
    <mergeCell ref="O43:X43"/>
    <mergeCell ref="Y43:Z43"/>
    <mergeCell ref="B44:I44"/>
    <mergeCell ref="J44:N44"/>
    <mergeCell ref="O44:R44"/>
    <mergeCell ref="S44:T44"/>
    <mergeCell ref="U44:X44"/>
    <mergeCell ref="Y44:Z44"/>
    <mergeCell ref="B45:I45"/>
    <mergeCell ref="J45:N45"/>
    <mergeCell ref="O45:R45"/>
    <mergeCell ref="S45:T45"/>
    <mergeCell ref="U45:X45"/>
    <mergeCell ref="Y45:Z45"/>
    <mergeCell ref="B46:I46"/>
    <mergeCell ref="J46:N46"/>
    <mergeCell ref="O46:R46"/>
    <mergeCell ref="S46:T46"/>
    <mergeCell ref="U46:X46"/>
    <mergeCell ref="Y46:Z46"/>
    <mergeCell ref="B47:N47"/>
    <mergeCell ref="O47:X47"/>
    <mergeCell ref="Y47:Z47"/>
    <mergeCell ref="B48:I48"/>
    <mergeCell ref="J48:N48"/>
    <mergeCell ref="O48:R48"/>
    <mergeCell ref="S48:T48"/>
    <mergeCell ref="U48:X48"/>
    <mergeCell ref="Y48:Z48"/>
    <mergeCell ref="B49:I49"/>
    <mergeCell ref="J49:N49"/>
    <mergeCell ref="O49:R49"/>
    <mergeCell ref="S49:T49"/>
    <mergeCell ref="U49:X49"/>
    <mergeCell ref="Y49:Z49"/>
    <mergeCell ref="B50:I50"/>
    <mergeCell ref="J50:N50"/>
    <mergeCell ref="O50:R50"/>
    <mergeCell ref="S50:T50"/>
    <mergeCell ref="U50:X50"/>
    <mergeCell ref="Y50:Z50"/>
    <mergeCell ref="B51:N51"/>
    <mergeCell ref="O51:X51"/>
    <mergeCell ref="Y51:Z51"/>
    <mergeCell ref="B52:I52"/>
    <mergeCell ref="J52:N52"/>
    <mergeCell ref="O52:R52"/>
    <mergeCell ref="S52:T52"/>
    <mergeCell ref="U52:X52"/>
    <mergeCell ref="Y52:Z52"/>
    <mergeCell ref="B53:I53"/>
    <mergeCell ref="J53:N53"/>
    <mergeCell ref="O53:R53"/>
    <mergeCell ref="S53:T53"/>
    <mergeCell ref="U53:X53"/>
    <mergeCell ref="Y53:Z53"/>
    <mergeCell ref="B54:I54"/>
    <mergeCell ref="J54:N54"/>
    <mergeCell ref="O54:R54"/>
    <mergeCell ref="S54:T54"/>
    <mergeCell ref="U54:X54"/>
    <mergeCell ref="Y54:Z54"/>
    <mergeCell ref="B55:N55"/>
    <mergeCell ref="O55:X55"/>
    <mergeCell ref="Y55:Z55"/>
    <mergeCell ref="B56:I56"/>
    <mergeCell ref="J56:N56"/>
    <mergeCell ref="O56:R56"/>
    <mergeCell ref="S56:T56"/>
    <mergeCell ref="U56:X56"/>
    <mergeCell ref="Y56:Z56"/>
    <mergeCell ref="B57:I57"/>
    <mergeCell ref="J57:N57"/>
    <mergeCell ref="O57:R57"/>
    <mergeCell ref="S57:T57"/>
    <mergeCell ref="U57:X57"/>
    <mergeCell ref="Y57:Z57"/>
    <mergeCell ref="B58:N58"/>
    <mergeCell ref="O58:X58"/>
    <mergeCell ref="Y58:Z58"/>
    <mergeCell ref="B59:N59"/>
    <mergeCell ref="O59:X59"/>
    <mergeCell ref="Y59:Z59"/>
  </mergeCells>
  <printOptions headings="false" gridLines="false" gridLinesSet="true" horizontalCentered="true" verticalCentered="false"/>
  <pageMargins left="0.511805555555556" right="0.511805555555556" top="0.747916666666667" bottom="0.551388888888889" header="0.511811023622047" footer="0.511811023622047"/>
  <pageSetup paperSize="9" scale="8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3" man="true" max="16383" min="0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4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N18" activeCellId="0" sqref="AN18"/>
    </sheetView>
  </sheetViews>
  <sheetFormatPr defaultColWidth="9" defaultRowHeight="13.5" zeroHeight="false" outlineLevelRow="0" outlineLevelCol="0"/>
  <cols>
    <col collapsed="false" customWidth="true" hidden="false" outlineLevel="0" max="3" min="1" style="173" width="3.13"/>
    <col collapsed="false" customWidth="true" hidden="false" outlineLevel="0" max="8" min="4" style="173" width="4.13"/>
    <col collapsed="false" customWidth="true" hidden="false" outlineLevel="0" max="27" min="9" style="173" width="3.13"/>
    <col collapsed="false" customWidth="false" hidden="false" outlineLevel="0" max="29" min="28" style="173" width="9"/>
    <col collapsed="false" customWidth="true" hidden="false" outlineLevel="0" max="30" min="30" style="173" width="11.5"/>
    <col collapsed="false" customWidth="false" hidden="false" outlineLevel="0" max="16384" min="31" style="173" width="9"/>
  </cols>
  <sheetData>
    <row r="1" customFormat="false" ht="15" hidden="false" customHeight="true" outlineLevel="0" collapsed="false"/>
    <row r="2" customFormat="false" ht="24.75" hidden="false" customHeight="true" outlineLevel="0" collapsed="false">
      <c r="B2" s="382" t="s">
        <v>716</v>
      </c>
    </row>
    <row r="3" customFormat="false" ht="24.75" hidden="false" customHeight="true" outlineLevel="0" collapsed="false">
      <c r="B3" s="382"/>
    </row>
    <row r="4" customFormat="false" ht="15" hidden="false" customHeight="true" outlineLevel="0" collapsed="false">
      <c r="B4" s="172" t="s">
        <v>717</v>
      </c>
    </row>
    <row r="5" customFormat="false" ht="6.75" hidden="false" customHeight="true" outlineLevel="0" collapsed="false">
      <c r="B5" s="196"/>
    </row>
    <row r="6" customFormat="false" ht="24.75" hidden="false" customHeight="true" outlineLevel="0" collapsed="false">
      <c r="D6" s="383" t="s">
        <v>718</v>
      </c>
      <c r="E6" s="383"/>
      <c r="F6" s="383"/>
      <c r="G6" s="383"/>
      <c r="H6" s="383"/>
      <c r="I6" s="384" t="s">
        <v>719</v>
      </c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5" t="s">
        <v>550</v>
      </c>
      <c r="V6" s="385"/>
      <c r="W6" s="385"/>
      <c r="X6" s="385"/>
    </row>
    <row r="7" customFormat="false" ht="24.75" hidden="false" customHeight="true" outlineLevel="0" collapsed="false">
      <c r="D7" s="383"/>
      <c r="E7" s="383"/>
      <c r="F7" s="383"/>
      <c r="G7" s="383"/>
      <c r="H7" s="383"/>
      <c r="I7" s="386" t="s">
        <v>720</v>
      </c>
      <c r="J7" s="386"/>
      <c r="K7" s="386"/>
      <c r="L7" s="386"/>
      <c r="M7" s="386" t="s">
        <v>721</v>
      </c>
      <c r="N7" s="386"/>
      <c r="O7" s="386"/>
      <c r="P7" s="386"/>
      <c r="Q7" s="387" t="s">
        <v>557</v>
      </c>
      <c r="R7" s="387"/>
      <c r="S7" s="387"/>
      <c r="T7" s="387"/>
      <c r="U7" s="387"/>
      <c r="V7" s="387"/>
      <c r="W7" s="387"/>
      <c r="X7" s="387"/>
    </row>
    <row r="8" customFormat="false" ht="30" hidden="false" customHeight="true" outlineLevel="0" collapsed="false">
      <c r="D8" s="388" t="s">
        <v>722</v>
      </c>
      <c r="E8" s="388"/>
      <c r="F8" s="388"/>
      <c r="G8" s="388"/>
      <c r="H8" s="388"/>
      <c r="I8" s="389" t="n">
        <v>6</v>
      </c>
      <c r="J8" s="389"/>
      <c r="K8" s="389"/>
      <c r="L8" s="389"/>
      <c r="M8" s="389" t="n">
        <v>7</v>
      </c>
      <c r="N8" s="389"/>
      <c r="O8" s="389"/>
      <c r="P8" s="389"/>
      <c r="Q8" s="390" t="n">
        <f aca="false">I8*M8</f>
        <v>42</v>
      </c>
      <c r="R8" s="390"/>
      <c r="S8" s="390"/>
      <c r="T8" s="390"/>
      <c r="U8" s="389"/>
      <c r="V8" s="389"/>
      <c r="W8" s="389"/>
      <c r="X8" s="389"/>
      <c r="AD8" s="391"/>
      <c r="AE8" s="392"/>
    </row>
    <row r="9" customFormat="false" ht="30" hidden="false" customHeight="true" outlineLevel="0" collapsed="false">
      <c r="D9" s="393" t="s">
        <v>723</v>
      </c>
      <c r="E9" s="393"/>
      <c r="F9" s="393"/>
      <c r="G9" s="393"/>
      <c r="H9" s="393"/>
      <c r="I9" s="389" t="n">
        <v>5</v>
      </c>
      <c r="J9" s="389"/>
      <c r="K9" s="389"/>
      <c r="L9" s="389"/>
      <c r="M9" s="389" t="n">
        <v>7</v>
      </c>
      <c r="N9" s="389"/>
      <c r="O9" s="389"/>
      <c r="P9" s="389"/>
      <c r="Q9" s="390" t="n">
        <f aca="false">I9*M9</f>
        <v>35</v>
      </c>
      <c r="R9" s="390"/>
      <c r="S9" s="390"/>
      <c r="T9" s="390"/>
      <c r="U9" s="389"/>
      <c r="V9" s="389"/>
      <c r="W9" s="389"/>
      <c r="X9" s="389"/>
    </row>
    <row r="10" customFormat="false" ht="30" hidden="false" customHeight="true" outlineLevel="0" collapsed="false">
      <c r="D10" s="393" t="s">
        <v>724</v>
      </c>
      <c r="E10" s="393"/>
      <c r="F10" s="393"/>
      <c r="G10" s="393"/>
      <c r="H10" s="393"/>
      <c r="I10" s="389" t="n">
        <v>4</v>
      </c>
      <c r="J10" s="389"/>
      <c r="K10" s="389"/>
      <c r="L10" s="389"/>
      <c r="M10" s="389" t="n">
        <v>3</v>
      </c>
      <c r="N10" s="389"/>
      <c r="O10" s="389"/>
      <c r="P10" s="389"/>
      <c r="Q10" s="390" t="n">
        <f aca="false">I10*M10</f>
        <v>12</v>
      </c>
      <c r="R10" s="390"/>
      <c r="S10" s="390"/>
      <c r="T10" s="390"/>
      <c r="U10" s="389"/>
      <c r="V10" s="389"/>
      <c r="W10" s="389"/>
      <c r="X10" s="389"/>
    </row>
    <row r="11" customFormat="false" ht="30" hidden="false" customHeight="true" outlineLevel="0" collapsed="false">
      <c r="D11" s="393" t="s">
        <v>725</v>
      </c>
      <c r="E11" s="393"/>
      <c r="F11" s="393"/>
      <c r="G11" s="393"/>
      <c r="H11" s="393"/>
      <c r="I11" s="389" t="n">
        <v>10</v>
      </c>
      <c r="J11" s="389"/>
      <c r="K11" s="389"/>
      <c r="L11" s="389"/>
      <c r="M11" s="389" t="n">
        <v>14</v>
      </c>
      <c r="N11" s="389"/>
      <c r="O11" s="389"/>
      <c r="P11" s="389"/>
      <c r="Q11" s="390" t="n">
        <f aca="false">I11*M11</f>
        <v>140</v>
      </c>
      <c r="R11" s="390"/>
      <c r="S11" s="390"/>
      <c r="T11" s="390"/>
      <c r="U11" s="389"/>
      <c r="V11" s="389"/>
      <c r="W11" s="389"/>
      <c r="X11" s="389"/>
    </row>
    <row r="12" customFormat="false" ht="30" hidden="false" customHeight="true" outlineLevel="0" collapsed="false">
      <c r="D12" s="393" t="s">
        <v>726</v>
      </c>
      <c r="E12" s="393"/>
      <c r="F12" s="393"/>
      <c r="G12" s="393"/>
      <c r="H12" s="393"/>
      <c r="I12" s="389" t="n">
        <v>5</v>
      </c>
      <c r="J12" s="389"/>
      <c r="K12" s="389"/>
      <c r="L12" s="389"/>
      <c r="M12" s="389" t="n">
        <v>3</v>
      </c>
      <c r="N12" s="389"/>
      <c r="O12" s="389"/>
      <c r="P12" s="389"/>
      <c r="Q12" s="390" t="n">
        <f aca="false">I12*M12</f>
        <v>15</v>
      </c>
      <c r="R12" s="390"/>
      <c r="S12" s="390"/>
      <c r="T12" s="390"/>
      <c r="U12" s="389"/>
      <c r="V12" s="389"/>
      <c r="W12" s="389"/>
      <c r="X12" s="389"/>
    </row>
    <row r="13" customFormat="false" ht="30" hidden="false" customHeight="true" outlineLevel="0" collapsed="false">
      <c r="D13" s="393" t="s">
        <v>727</v>
      </c>
      <c r="E13" s="393"/>
      <c r="F13" s="393"/>
      <c r="G13" s="393"/>
      <c r="H13" s="393"/>
      <c r="I13" s="389" t="n">
        <v>5</v>
      </c>
      <c r="J13" s="389"/>
      <c r="K13" s="389"/>
      <c r="L13" s="389"/>
      <c r="M13" s="389" t="n">
        <v>7</v>
      </c>
      <c r="N13" s="389"/>
      <c r="O13" s="389"/>
      <c r="P13" s="389"/>
      <c r="Q13" s="390" t="n">
        <f aca="false">I13*M13</f>
        <v>35</v>
      </c>
      <c r="R13" s="390"/>
      <c r="S13" s="390"/>
      <c r="T13" s="390"/>
      <c r="U13" s="389"/>
      <c r="V13" s="389"/>
      <c r="W13" s="389"/>
      <c r="X13" s="389"/>
    </row>
    <row r="14" customFormat="false" ht="30" hidden="false" customHeight="true" outlineLevel="0" collapsed="false">
      <c r="D14" s="394" t="s">
        <v>557</v>
      </c>
      <c r="E14" s="394"/>
      <c r="F14" s="394"/>
      <c r="G14" s="394"/>
      <c r="H14" s="394"/>
      <c r="I14" s="395"/>
      <c r="J14" s="395"/>
      <c r="K14" s="395"/>
      <c r="L14" s="395"/>
      <c r="M14" s="395"/>
      <c r="N14" s="395"/>
      <c r="O14" s="395"/>
      <c r="P14" s="395"/>
      <c r="Q14" s="396" t="n">
        <f aca="false">SUM(Q8:T11)</f>
        <v>229</v>
      </c>
      <c r="R14" s="396"/>
      <c r="S14" s="396"/>
      <c r="T14" s="396"/>
      <c r="U14" s="395"/>
      <c r="V14" s="395"/>
      <c r="W14" s="395"/>
      <c r="X14" s="395"/>
    </row>
    <row r="15" customFormat="false" ht="15" hidden="false" customHeight="true" outlineLevel="0" collapsed="false">
      <c r="D15" s="196"/>
      <c r="I15" s="196"/>
      <c r="M15" s="196"/>
      <c r="Q15" s="196"/>
      <c r="U15" s="196"/>
    </row>
    <row r="16" customFormat="false" ht="15" hidden="false" customHeight="true" outlineLevel="0" collapsed="false">
      <c r="B16" s="172" t="s">
        <v>728</v>
      </c>
    </row>
    <row r="17" customFormat="false" ht="6.75" hidden="false" customHeight="true" outlineLevel="0" collapsed="false">
      <c r="B17" s="196"/>
    </row>
    <row r="18" customFormat="false" ht="19.5" hidden="false" customHeight="true" outlineLevel="0" collapsed="false">
      <c r="D18" s="397" t="s">
        <v>729</v>
      </c>
      <c r="E18" s="397"/>
      <c r="F18" s="397"/>
      <c r="G18" s="397"/>
      <c r="H18" s="398" t="s">
        <v>730</v>
      </c>
      <c r="I18" s="398"/>
      <c r="J18" s="398"/>
      <c r="K18" s="398"/>
      <c r="L18" s="399" t="s">
        <v>731</v>
      </c>
      <c r="M18" s="399"/>
      <c r="N18" s="399"/>
      <c r="O18" s="399"/>
      <c r="P18" s="399"/>
      <c r="Q18" s="399"/>
      <c r="R18" s="399"/>
      <c r="S18" s="399"/>
      <c r="T18" s="399"/>
      <c r="U18" s="385" t="s">
        <v>550</v>
      </c>
      <c r="V18" s="385"/>
      <c r="W18" s="385"/>
      <c r="X18" s="385"/>
    </row>
    <row r="19" customFormat="false" ht="19.5" hidden="false" customHeight="true" outlineLevel="0" collapsed="false">
      <c r="D19" s="397"/>
      <c r="E19" s="397"/>
      <c r="F19" s="397"/>
      <c r="G19" s="397"/>
      <c r="H19" s="398"/>
      <c r="I19" s="398"/>
      <c r="J19" s="398"/>
      <c r="K19" s="398"/>
      <c r="L19" s="386" t="s">
        <v>732</v>
      </c>
      <c r="M19" s="386"/>
      <c r="N19" s="386"/>
      <c r="O19" s="386" t="s">
        <v>733</v>
      </c>
      <c r="P19" s="386"/>
      <c r="Q19" s="386"/>
      <c r="R19" s="387" t="s">
        <v>557</v>
      </c>
      <c r="S19" s="387"/>
      <c r="T19" s="387"/>
      <c r="U19" s="387"/>
      <c r="V19" s="387"/>
      <c r="W19" s="387"/>
      <c r="X19" s="387"/>
    </row>
    <row r="20" customFormat="false" ht="30" hidden="false" customHeight="true" outlineLevel="0" collapsed="false">
      <c r="D20" s="400" t="s">
        <v>734</v>
      </c>
      <c r="E20" s="400"/>
      <c r="F20" s="400"/>
      <c r="G20" s="400"/>
      <c r="H20" s="389" t="s">
        <v>735</v>
      </c>
      <c r="I20" s="389"/>
      <c r="J20" s="389"/>
      <c r="K20" s="389"/>
      <c r="L20" s="389" t="n">
        <v>1</v>
      </c>
      <c r="M20" s="389"/>
      <c r="N20" s="389"/>
      <c r="O20" s="389" t="n">
        <v>10</v>
      </c>
      <c r="P20" s="389"/>
      <c r="Q20" s="389"/>
      <c r="R20" s="389" t="n">
        <f aca="false">L20*O20</f>
        <v>10</v>
      </c>
      <c r="S20" s="389"/>
      <c r="T20" s="389"/>
      <c r="U20" s="389"/>
      <c r="V20" s="389"/>
      <c r="W20" s="389"/>
      <c r="X20" s="389"/>
    </row>
    <row r="21" customFormat="false" ht="30" hidden="false" customHeight="true" outlineLevel="0" collapsed="false">
      <c r="D21" s="400" t="s">
        <v>736</v>
      </c>
      <c r="E21" s="400"/>
      <c r="F21" s="400"/>
      <c r="G21" s="400"/>
      <c r="H21" s="389" t="s">
        <v>737</v>
      </c>
      <c r="I21" s="389"/>
      <c r="J21" s="389"/>
      <c r="K21" s="389"/>
      <c r="L21" s="389" t="n">
        <v>1</v>
      </c>
      <c r="M21" s="389"/>
      <c r="N21" s="389"/>
      <c r="O21" s="389" t="n">
        <v>10</v>
      </c>
      <c r="P21" s="389"/>
      <c r="Q21" s="389"/>
      <c r="R21" s="389" t="n">
        <f aca="false">L21*O21</f>
        <v>10</v>
      </c>
      <c r="S21" s="389"/>
      <c r="T21" s="389"/>
      <c r="U21" s="389"/>
      <c r="V21" s="389"/>
      <c r="W21" s="389"/>
      <c r="X21" s="389"/>
    </row>
    <row r="22" customFormat="false" ht="30" hidden="false" customHeight="true" outlineLevel="0" collapsed="false">
      <c r="D22" s="400" t="s">
        <v>738</v>
      </c>
      <c r="E22" s="400"/>
      <c r="F22" s="400"/>
      <c r="G22" s="400"/>
      <c r="H22" s="389" t="s">
        <v>739</v>
      </c>
      <c r="I22" s="389"/>
      <c r="J22" s="389"/>
      <c r="K22" s="389"/>
      <c r="L22" s="389" t="n">
        <v>1</v>
      </c>
      <c r="M22" s="389"/>
      <c r="N22" s="389"/>
      <c r="O22" s="389" t="n">
        <v>10</v>
      </c>
      <c r="P22" s="389"/>
      <c r="Q22" s="389"/>
      <c r="R22" s="389" t="n">
        <f aca="false">L22*O22</f>
        <v>10</v>
      </c>
      <c r="S22" s="389"/>
      <c r="T22" s="389"/>
      <c r="U22" s="389"/>
      <c r="V22" s="389"/>
      <c r="W22" s="389"/>
      <c r="X22" s="389"/>
    </row>
    <row r="23" customFormat="false" ht="30" hidden="false" customHeight="true" outlineLevel="0" collapsed="false">
      <c r="D23" s="400" t="s">
        <v>740</v>
      </c>
      <c r="E23" s="400"/>
      <c r="F23" s="400"/>
      <c r="G23" s="400"/>
      <c r="H23" s="389" t="s">
        <v>741</v>
      </c>
      <c r="I23" s="389"/>
      <c r="J23" s="389"/>
      <c r="K23" s="389"/>
      <c r="L23" s="389" t="n">
        <v>3</v>
      </c>
      <c r="M23" s="389"/>
      <c r="N23" s="389"/>
      <c r="O23" s="389" t="n">
        <v>5</v>
      </c>
      <c r="P23" s="389"/>
      <c r="Q23" s="389"/>
      <c r="R23" s="389" t="n">
        <f aca="false">L23*O23</f>
        <v>15</v>
      </c>
      <c r="S23" s="389"/>
      <c r="T23" s="389"/>
      <c r="U23" s="389"/>
      <c r="V23" s="389"/>
      <c r="W23" s="389"/>
      <c r="X23" s="389"/>
    </row>
    <row r="24" customFormat="false" ht="30" hidden="false" customHeight="true" outlineLevel="0" collapsed="false">
      <c r="D24" s="400" t="s">
        <v>742</v>
      </c>
      <c r="E24" s="400"/>
      <c r="F24" s="400"/>
      <c r="G24" s="400"/>
      <c r="H24" s="389" t="s">
        <v>737</v>
      </c>
      <c r="I24" s="389"/>
      <c r="J24" s="389"/>
      <c r="K24" s="389"/>
      <c r="L24" s="389" t="n">
        <v>1</v>
      </c>
      <c r="M24" s="389"/>
      <c r="N24" s="389"/>
      <c r="O24" s="389" t="n">
        <v>3</v>
      </c>
      <c r="P24" s="389"/>
      <c r="Q24" s="389"/>
      <c r="R24" s="389" t="n">
        <f aca="false">L24*O24</f>
        <v>3</v>
      </c>
      <c r="S24" s="389"/>
      <c r="T24" s="389"/>
      <c r="U24" s="389"/>
      <c r="V24" s="389"/>
      <c r="W24" s="389"/>
      <c r="X24" s="389"/>
    </row>
    <row r="25" customFormat="false" ht="30" hidden="false" customHeight="true" outlineLevel="0" collapsed="false">
      <c r="D25" s="394" t="s">
        <v>557</v>
      </c>
      <c r="E25" s="394"/>
      <c r="F25" s="394"/>
      <c r="G25" s="394"/>
      <c r="H25" s="394"/>
      <c r="I25" s="394"/>
      <c r="J25" s="394"/>
      <c r="K25" s="394"/>
      <c r="L25" s="395"/>
      <c r="M25" s="395"/>
      <c r="N25" s="395"/>
      <c r="O25" s="395"/>
      <c r="P25" s="395"/>
      <c r="Q25" s="395"/>
      <c r="R25" s="395" t="n">
        <f aca="false">SUM(R20:T24)</f>
        <v>48</v>
      </c>
      <c r="S25" s="395"/>
      <c r="T25" s="395"/>
      <c r="U25" s="395"/>
      <c r="V25" s="395"/>
      <c r="W25" s="395"/>
      <c r="X25" s="395"/>
    </row>
    <row r="26" customFormat="false" ht="13.5" hidden="false" customHeight="true" outlineLevel="0" collapsed="false"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</row>
    <row r="27" customFormat="false" ht="15" hidden="false" customHeight="true" outlineLevel="0" collapsed="false"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401"/>
      <c r="Q27" s="401"/>
      <c r="R27" s="401"/>
      <c r="S27" s="401"/>
      <c r="T27" s="401"/>
      <c r="U27" s="401"/>
      <c r="V27" s="401"/>
      <c r="W27" s="401"/>
      <c r="X27" s="401"/>
    </row>
    <row r="28" customFormat="false" ht="15" hidden="false" customHeight="true" outlineLevel="0" collapsed="false"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401"/>
      <c r="Q28" s="401"/>
      <c r="R28" s="401"/>
      <c r="S28" s="401"/>
      <c r="T28" s="401"/>
      <c r="U28" s="401"/>
      <c r="V28" s="401"/>
      <c r="W28" s="401"/>
      <c r="X28" s="401"/>
    </row>
    <row r="29" customFormat="false" ht="15" hidden="false" customHeight="true" outlineLevel="0" collapsed="false">
      <c r="D29" s="196"/>
      <c r="H29" s="196"/>
      <c r="L29" s="196"/>
      <c r="N29" s="196"/>
      <c r="Q29" s="196"/>
      <c r="U29" s="196"/>
    </row>
    <row r="30" customFormat="false" ht="15" hidden="false" customHeight="true" outlineLevel="0" collapsed="false">
      <c r="D30" s="196"/>
      <c r="H30" s="196"/>
      <c r="L30" s="196"/>
      <c r="N30" s="196"/>
      <c r="Q30" s="196"/>
      <c r="U30" s="196"/>
    </row>
    <row r="31" customFormat="false" ht="15" hidden="false" customHeight="true" outlineLevel="0" collapsed="false">
      <c r="D31" s="196"/>
      <c r="H31" s="196"/>
      <c r="L31" s="196"/>
      <c r="N31" s="196"/>
      <c r="P31" s="401" t="str">
        <f aca="false">공사정보_출력X!C6</f>
        <v>주식회사 가상건설</v>
      </c>
      <c r="Q31" s="401"/>
      <c r="R31" s="401"/>
      <c r="S31" s="401"/>
      <c r="T31" s="401"/>
      <c r="U31" s="401"/>
      <c r="V31" s="401"/>
      <c r="W31" s="401"/>
      <c r="X31" s="401"/>
    </row>
    <row r="32" customFormat="false" ht="15" hidden="false" customHeight="true" outlineLevel="0" collapsed="false">
      <c r="D32" s="196"/>
      <c r="H32" s="196"/>
      <c r="L32" s="196"/>
      <c r="N32" s="196"/>
      <c r="P32" s="401"/>
      <c r="Q32" s="401"/>
      <c r="R32" s="401"/>
      <c r="S32" s="401"/>
      <c r="T32" s="401"/>
      <c r="U32" s="401"/>
      <c r="V32" s="401"/>
      <c r="W32" s="401"/>
      <c r="X32" s="401"/>
    </row>
    <row r="33" customFormat="false" ht="15" hidden="false" customHeight="true" outlineLevel="0" collapsed="false">
      <c r="D33" s="196"/>
      <c r="H33" s="196"/>
      <c r="L33" s="196"/>
      <c r="N33" s="196"/>
      <c r="Q33" s="196"/>
      <c r="U33" s="196"/>
    </row>
    <row r="34" customFormat="false" ht="15" hidden="false" customHeight="true" outlineLevel="0" collapsed="false">
      <c r="D34" s="196"/>
      <c r="H34" s="196"/>
      <c r="L34" s="196"/>
      <c r="N34" s="196"/>
      <c r="Q34" s="196"/>
      <c r="U34" s="196"/>
    </row>
    <row r="35" customFormat="false" ht="15" hidden="false" customHeight="true" outlineLevel="0" collapsed="false">
      <c r="D35" s="196"/>
      <c r="H35" s="196"/>
      <c r="L35" s="196"/>
      <c r="N35" s="196"/>
      <c r="Q35" s="196"/>
      <c r="U35" s="196"/>
    </row>
    <row r="36" customFormat="false" ht="15" hidden="false" customHeight="true" outlineLevel="0" collapsed="false">
      <c r="D36" s="196"/>
      <c r="H36" s="196"/>
      <c r="L36" s="196"/>
      <c r="N36" s="196"/>
      <c r="Q36" s="196"/>
      <c r="U36" s="196"/>
    </row>
    <row r="37" customFormat="false" ht="15" hidden="false" customHeight="true" outlineLevel="0" collapsed="false">
      <c r="D37" s="196"/>
      <c r="H37" s="196"/>
      <c r="L37" s="196"/>
      <c r="N37" s="196"/>
      <c r="Q37" s="196"/>
      <c r="U37" s="196"/>
    </row>
    <row r="38" customFormat="false" ht="15" hidden="false" customHeight="true" outlineLevel="0" collapsed="false">
      <c r="D38" s="196"/>
      <c r="H38" s="196"/>
      <c r="L38" s="196"/>
      <c r="N38" s="196"/>
      <c r="Q38" s="196"/>
      <c r="U38" s="196"/>
    </row>
    <row r="39" customFormat="false" ht="15" hidden="false" customHeight="true" outlineLevel="0" collapsed="false">
      <c r="D39" s="196"/>
      <c r="H39" s="196"/>
      <c r="L39" s="196"/>
      <c r="N39" s="196"/>
      <c r="Q39" s="196"/>
      <c r="U39" s="196"/>
    </row>
    <row r="40" customFormat="false" ht="15" hidden="false" customHeight="true" outlineLevel="0" collapsed="false">
      <c r="D40" s="196"/>
      <c r="H40" s="196"/>
      <c r="L40" s="196"/>
      <c r="N40" s="196"/>
      <c r="Q40" s="196"/>
      <c r="U40" s="196"/>
    </row>
    <row r="41" customFormat="false" ht="15" hidden="false" customHeight="true" outlineLevel="0" collapsed="false">
      <c r="D41" s="196"/>
      <c r="H41" s="196"/>
      <c r="L41" s="196"/>
      <c r="N41" s="196"/>
      <c r="Q41" s="196"/>
      <c r="U41" s="196"/>
    </row>
    <row r="42" customFormat="false" ht="15" hidden="false" customHeight="true" outlineLevel="0" collapsed="false">
      <c r="D42" s="196"/>
      <c r="H42" s="196"/>
      <c r="L42" s="196"/>
      <c r="N42" s="196"/>
      <c r="Q42" s="196"/>
      <c r="U42" s="196"/>
    </row>
    <row r="43" customFormat="false" ht="15" hidden="false" customHeight="true" outlineLevel="0" collapsed="false">
      <c r="D43" s="196"/>
      <c r="H43" s="196"/>
      <c r="L43" s="196"/>
      <c r="N43" s="196"/>
      <c r="Q43" s="196"/>
      <c r="U43" s="196"/>
    </row>
    <row r="44" customFormat="false" ht="15" hidden="false" customHeight="true" outlineLevel="0" collapsed="false">
      <c r="D44" s="196"/>
      <c r="H44" s="196"/>
      <c r="L44" s="196"/>
      <c r="N44" s="196"/>
      <c r="Q44" s="196"/>
      <c r="U44" s="196"/>
    </row>
    <row r="45" customFormat="false" ht="15" hidden="false" customHeight="true" outlineLevel="0" collapsed="false">
      <c r="D45" s="196"/>
      <c r="H45" s="196"/>
      <c r="L45" s="196"/>
      <c r="N45" s="196"/>
      <c r="Q45" s="196"/>
      <c r="U45" s="196"/>
    </row>
    <row r="46" customFormat="false" ht="15" hidden="false" customHeight="true" outlineLevel="0" collapsed="false">
      <c r="D46" s="196"/>
      <c r="H46" s="196"/>
      <c r="L46" s="196"/>
      <c r="N46" s="196"/>
      <c r="Q46" s="196"/>
      <c r="U46" s="196"/>
    </row>
    <row r="47" customFormat="false" ht="15" hidden="false" customHeight="true" outlineLevel="0" collapsed="false"/>
    <row r="48" customFormat="false" ht="15" hidden="false" customHeight="true" outlineLevel="0" collapsed="false"/>
  </sheetData>
  <mergeCells count="87">
    <mergeCell ref="D6:H7"/>
    <mergeCell ref="I6:T6"/>
    <mergeCell ref="U6:X6"/>
    <mergeCell ref="I7:L7"/>
    <mergeCell ref="M7:P7"/>
    <mergeCell ref="Q7:T7"/>
    <mergeCell ref="U7:X7"/>
    <mergeCell ref="D8:H8"/>
    <mergeCell ref="I8:L8"/>
    <mergeCell ref="M8:P8"/>
    <mergeCell ref="Q8:T8"/>
    <mergeCell ref="U8:X8"/>
    <mergeCell ref="D9:H9"/>
    <mergeCell ref="I9:L9"/>
    <mergeCell ref="M9:P9"/>
    <mergeCell ref="Q9:T9"/>
    <mergeCell ref="U9:X9"/>
    <mergeCell ref="D10:H10"/>
    <mergeCell ref="I10:L10"/>
    <mergeCell ref="M10:P10"/>
    <mergeCell ref="Q10:T10"/>
    <mergeCell ref="U10:X10"/>
    <mergeCell ref="D11:H11"/>
    <mergeCell ref="I11:L11"/>
    <mergeCell ref="M11:P11"/>
    <mergeCell ref="Q11:T11"/>
    <mergeCell ref="U11:X11"/>
    <mergeCell ref="D12:H12"/>
    <mergeCell ref="I12:L12"/>
    <mergeCell ref="M12:P12"/>
    <mergeCell ref="Q12:T12"/>
    <mergeCell ref="U12:X12"/>
    <mergeCell ref="D13:H13"/>
    <mergeCell ref="I13:L13"/>
    <mergeCell ref="M13:P13"/>
    <mergeCell ref="Q13:T13"/>
    <mergeCell ref="U13:X13"/>
    <mergeCell ref="D14:H14"/>
    <mergeCell ref="I14:L14"/>
    <mergeCell ref="M14:P14"/>
    <mergeCell ref="Q14:T14"/>
    <mergeCell ref="U14:X14"/>
    <mergeCell ref="D18:G19"/>
    <mergeCell ref="H18:K19"/>
    <mergeCell ref="L18:T18"/>
    <mergeCell ref="U18:X18"/>
    <mergeCell ref="L19:N19"/>
    <mergeCell ref="O19:Q19"/>
    <mergeCell ref="R19:T19"/>
    <mergeCell ref="U19:X19"/>
    <mergeCell ref="D20:G20"/>
    <mergeCell ref="H20:K20"/>
    <mergeCell ref="L20:N20"/>
    <mergeCell ref="O20:Q20"/>
    <mergeCell ref="R20:T20"/>
    <mergeCell ref="U20:X20"/>
    <mergeCell ref="D21:G21"/>
    <mergeCell ref="H21:K21"/>
    <mergeCell ref="L21:N21"/>
    <mergeCell ref="O21:Q21"/>
    <mergeCell ref="R21:T21"/>
    <mergeCell ref="U21:X21"/>
    <mergeCell ref="D22:G22"/>
    <mergeCell ref="H22:K22"/>
    <mergeCell ref="L22:N22"/>
    <mergeCell ref="O22:Q22"/>
    <mergeCell ref="R22:T22"/>
    <mergeCell ref="U22:X22"/>
    <mergeCell ref="D23:G23"/>
    <mergeCell ref="H23:K23"/>
    <mergeCell ref="L23:N23"/>
    <mergeCell ref="O23:Q23"/>
    <mergeCell ref="R23:T23"/>
    <mergeCell ref="U23:X23"/>
    <mergeCell ref="D24:G24"/>
    <mergeCell ref="H24:K24"/>
    <mergeCell ref="L24:N24"/>
    <mergeCell ref="O24:Q24"/>
    <mergeCell ref="R24:T24"/>
    <mergeCell ref="U24:X24"/>
    <mergeCell ref="D25:K25"/>
    <mergeCell ref="L25:N25"/>
    <mergeCell ref="O25:Q25"/>
    <mergeCell ref="R25:T25"/>
    <mergeCell ref="U25:X25"/>
    <mergeCell ref="P27:X28"/>
    <mergeCell ref="P31:X32"/>
  </mergeCells>
  <printOptions headings="false" gridLines="false" gridLinesSet="true" horizontalCentered="false" verticalCentered="false"/>
  <pageMargins left="0.590277777777778" right="0.511805555555556" top="0.747916666666667" bottom="0.551388888888889" header="0.511811023622047" footer="0.511811023622047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W12" activeCellId="0" sqref="W12"/>
    </sheetView>
  </sheetViews>
  <sheetFormatPr defaultColWidth="8.75" defaultRowHeight="16.5" zeroHeight="false" outlineLevelRow="0" outlineLevelCol="0"/>
  <cols>
    <col collapsed="false" customWidth="false" hidden="false" outlineLevel="0" max="16384" min="1" style="42" width="8.75"/>
  </cols>
  <sheetData>
    <row r="1" customFormat="false" ht="16.5" hidden="false" customHeight="true" outlineLevel="0" collapsed="false">
      <c r="A1" s="402"/>
      <c r="B1" s="403"/>
      <c r="C1" s="403"/>
      <c r="D1" s="403"/>
      <c r="E1" s="403"/>
      <c r="F1" s="403"/>
      <c r="G1" s="403"/>
      <c r="H1" s="403"/>
      <c r="I1" s="404"/>
    </row>
    <row r="2" customFormat="false" ht="39.75" hidden="false" customHeight="true" outlineLevel="0" collapsed="false">
      <c r="A2" s="405"/>
      <c r="I2" s="406"/>
    </row>
    <row r="3" customFormat="false" ht="39.75" hidden="false" customHeight="true" outlineLevel="0" collapsed="false">
      <c r="A3" s="405"/>
      <c r="I3" s="406"/>
    </row>
    <row r="4" customFormat="false" ht="60" hidden="false" customHeight="true" outlineLevel="0" collapsed="false">
      <c r="A4" s="407"/>
      <c r="B4" s="408" t="s">
        <v>743</v>
      </c>
      <c r="C4" s="408"/>
      <c r="D4" s="408"/>
      <c r="E4" s="408"/>
      <c r="F4" s="408"/>
      <c r="G4" s="408"/>
      <c r="H4" s="408"/>
      <c r="I4" s="409"/>
    </row>
    <row r="5" customFormat="false" ht="39.75" hidden="false" customHeight="true" outlineLevel="0" collapsed="false">
      <c r="A5" s="410"/>
      <c r="B5" s="411"/>
      <c r="C5" s="411"/>
      <c r="D5" s="411"/>
      <c r="E5" s="411"/>
      <c r="F5" s="411"/>
      <c r="G5" s="411"/>
      <c r="H5" s="411"/>
      <c r="I5" s="412"/>
    </row>
    <row r="6" customFormat="false" ht="39.75" hidden="false" customHeight="true" outlineLevel="0" collapsed="false">
      <c r="A6" s="413" t="str">
        <f aca="false">표지!A11</f>
        <v>(예시) OO부대 시설물 보수공사</v>
      </c>
      <c r="B6" s="413"/>
      <c r="C6" s="413"/>
      <c r="D6" s="413"/>
      <c r="E6" s="413"/>
      <c r="F6" s="413"/>
      <c r="G6" s="413"/>
      <c r="H6" s="413"/>
      <c r="I6" s="413"/>
    </row>
    <row r="7" customFormat="false" ht="24.75" hidden="false" customHeight="true" outlineLevel="0" collapsed="false">
      <c r="A7" s="413"/>
      <c r="B7" s="413"/>
      <c r="C7" s="413"/>
      <c r="D7" s="413"/>
      <c r="E7" s="413"/>
      <c r="F7" s="413"/>
      <c r="G7" s="413"/>
      <c r="H7" s="413"/>
      <c r="I7" s="413"/>
    </row>
    <row r="8" customFormat="false" ht="39.75" hidden="false" customHeight="true" outlineLevel="0" collapsed="false">
      <c r="A8" s="405"/>
      <c r="I8" s="406"/>
    </row>
    <row r="9" customFormat="false" ht="39.75" hidden="false" customHeight="true" outlineLevel="0" collapsed="false">
      <c r="A9" s="405"/>
      <c r="I9" s="406"/>
    </row>
    <row r="10" customFormat="false" ht="15" hidden="false" customHeight="true" outlineLevel="0" collapsed="false">
      <c r="A10" s="405"/>
      <c r="I10" s="406"/>
    </row>
    <row r="11" customFormat="false" ht="30" hidden="false" customHeight="true" outlineLevel="0" collapsed="false">
      <c r="A11" s="414" t="n">
        <f aca="false">표지!A22</f>
        <v>46035</v>
      </c>
      <c r="B11" s="414"/>
      <c r="C11" s="414"/>
      <c r="D11" s="414"/>
      <c r="E11" s="414"/>
      <c r="F11" s="414"/>
      <c r="G11" s="414"/>
      <c r="H11" s="414"/>
      <c r="I11" s="414"/>
    </row>
    <row r="12" customFormat="false" ht="15" hidden="false" customHeight="true" outlineLevel="0" collapsed="false">
      <c r="A12" s="405"/>
      <c r="I12" s="406"/>
    </row>
    <row r="13" customFormat="false" ht="39.75" hidden="false" customHeight="true" outlineLevel="0" collapsed="false">
      <c r="A13" s="405"/>
      <c r="I13" s="406"/>
    </row>
    <row r="14" customFormat="false" ht="39.75" hidden="false" customHeight="true" outlineLevel="0" collapsed="false">
      <c r="A14" s="405"/>
      <c r="I14" s="406"/>
    </row>
    <row r="15" customFormat="false" ht="39.75" hidden="false" customHeight="true" outlineLevel="0" collapsed="false">
      <c r="A15" s="405"/>
      <c r="I15" s="406"/>
    </row>
    <row r="16" customFormat="false" ht="39.75" hidden="false" customHeight="true" outlineLevel="0" collapsed="false">
      <c r="A16" s="405"/>
      <c r="I16" s="406"/>
    </row>
    <row r="17" customFormat="false" ht="39.75" hidden="false" customHeight="true" outlineLevel="0" collapsed="false">
      <c r="A17" s="405"/>
      <c r="I17" s="406"/>
    </row>
    <row r="18" customFormat="false" ht="39.75" hidden="false" customHeight="true" outlineLevel="0" collapsed="false">
      <c r="A18" s="405"/>
      <c r="B18" s="415"/>
      <c r="C18" s="416" t="str">
        <f aca="false">표지!A30</f>
        <v>주식회사 가상건설</v>
      </c>
      <c r="D18" s="416"/>
      <c r="E18" s="416"/>
      <c r="F18" s="416"/>
      <c r="G18" s="416"/>
      <c r="H18" s="415"/>
      <c r="I18" s="417"/>
    </row>
    <row r="19" customFormat="false" ht="54" hidden="false" customHeight="true" outlineLevel="0" collapsed="false">
      <c r="A19" s="405"/>
      <c r="I19" s="406"/>
    </row>
    <row r="20" customFormat="false" ht="30" hidden="false" customHeight="true" outlineLevel="0" collapsed="false">
      <c r="A20" s="418"/>
      <c r="B20" s="419"/>
      <c r="C20" s="419"/>
      <c r="D20" s="419"/>
      <c r="E20" s="419"/>
      <c r="F20" s="419"/>
      <c r="G20" s="419"/>
      <c r="H20" s="419"/>
      <c r="I20" s="420"/>
    </row>
    <row r="21" customFormat="false" ht="15" hidden="false" customHeight="true" outlineLevel="0" collapsed="false"/>
    <row r="22" customFormat="false" ht="39.75" hidden="false" customHeight="true" outlineLevel="0" collapsed="false"/>
    <row r="23" customFormat="false" ht="39.75" hidden="false" customHeight="true" outlineLevel="0" collapsed="false"/>
    <row r="24" customFormat="false" ht="39.75" hidden="false" customHeight="true" outlineLevel="0" collapsed="false"/>
    <row r="25" customFormat="false" ht="39.75" hidden="false" customHeight="true" outlineLevel="0" collapsed="false"/>
    <row r="26" customFormat="false" ht="39.75" hidden="false" customHeight="true" outlineLevel="0" collapsed="false"/>
    <row r="27" customFormat="false" ht="39.75" hidden="false" customHeight="true" outlineLevel="0" collapsed="false"/>
    <row r="28" customFormat="false" ht="39.75" hidden="false" customHeight="true" outlineLevel="0" collapsed="false"/>
    <row r="29" customFormat="false" ht="15" hidden="false" customHeight="true" outlineLevel="0" collapsed="false"/>
    <row r="30" customFormat="false" ht="30" hidden="false" customHeight="true" outlineLevel="0" collapsed="false"/>
    <row r="31" customFormat="false" ht="15" hidden="false" customHeight="true" outlineLevel="0" collapsed="false"/>
    <row r="32" customFormat="false" ht="39.75" hidden="false" customHeight="true" outlineLevel="0" collapsed="false"/>
    <row r="33" customFormat="false" ht="39.75" hidden="false" customHeight="true" outlineLevel="0" collapsed="false"/>
    <row r="34" customFormat="false" ht="39.75" hidden="false" customHeight="true" outlineLevel="0" collapsed="false"/>
    <row r="35" customFormat="false" ht="39.75" hidden="false" customHeight="true" outlineLevel="0" collapsed="false"/>
    <row r="36" customFormat="false" ht="39.75" hidden="false" customHeight="true" outlineLevel="0" collapsed="false"/>
    <row r="37" customFormat="false" ht="39.75" hidden="false" customHeight="true" outlineLevel="0" collapsed="false"/>
    <row r="38" customFormat="false" ht="39.75" hidden="false" customHeight="true" outlineLevel="0" collapsed="false"/>
    <row r="39" customFormat="false" ht="15" hidden="false" customHeight="true" outlineLevel="0" collapsed="false"/>
    <row r="40" customFormat="false" ht="30" hidden="false" customHeight="true" outlineLevel="0" collapsed="false"/>
    <row r="41" customFormat="false" ht="15" hidden="false" customHeight="true" outlineLevel="0" collapsed="false"/>
    <row r="42" customFormat="false" ht="39.75" hidden="false" customHeight="true" outlineLevel="0" collapsed="false"/>
    <row r="43" customFormat="false" ht="39.75" hidden="false" customHeight="true" outlineLevel="0" collapsed="false"/>
    <row r="44" customFormat="false" ht="39.75" hidden="false" customHeight="true" outlineLevel="0" collapsed="false"/>
    <row r="45" customFormat="false" ht="39.75" hidden="false" customHeight="true" outlineLevel="0" collapsed="false"/>
    <row r="46" customFormat="false" ht="39.75" hidden="false" customHeight="true" outlineLevel="0" collapsed="false"/>
    <row r="47" customFormat="false" ht="39.75" hidden="false" customHeight="true" outlineLevel="0" collapsed="false"/>
    <row r="48" customFormat="false" ht="39.75" hidden="false" customHeight="true" outlineLevel="0" collapsed="false"/>
    <row r="49" customFormat="false" ht="15" hidden="false" customHeight="true" outlineLevel="0" collapsed="false"/>
    <row r="50" customFormat="false" ht="30" hidden="false" customHeight="true" outlineLevel="0" collapsed="false"/>
    <row r="51" customFormat="false" ht="15" hidden="false" customHeight="true" outlineLevel="0" collapsed="false"/>
    <row r="52" customFormat="false" ht="39.75" hidden="false" customHeight="true" outlineLevel="0" collapsed="false"/>
    <row r="53" customFormat="false" ht="39.75" hidden="false" customHeight="true" outlineLevel="0" collapsed="false"/>
    <row r="54" customFormat="false" ht="39.75" hidden="false" customHeight="true" outlineLevel="0" collapsed="false"/>
    <row r="55" customFormat="false" ht="39.75" hidden="false" customHeight="true" outlineLevel="0" collapsed="false"/>
    <row r="56" customFormat="false" ht="39.75" hidden="false" customHeight="true" outlineLevel="0" collapsed="false"/>
    <row r="57" customFormat="false" ht="39.75" hidden="false" customHeight="true" outlineLevel="0" collapsed="false"/>
    <row r="58" customFormat="false" ht="39.75" hidden="false" customHeight="true" outlineLevel="0" collapsed="false"/>
    <row r="59" customFormat="false" ht="15" hidden="false" customHeight="true" outlineLevel="0" collapsed="false"/>
    <row r="60" customFormat="false" ht="30" hidden="false" customHeight="true" outlineLevel="0" collapsed="false"/>
    <row r="61" customFormat="false" ht="15" hidden="false" customHeight="true" outlineLevel="0" collapsed="false"/>
    <row r="62" customFormat="false" ht="39.75" hidden="false" customHeight="true" outlineLevel="0" collapsed="false"/>
    <row r="63" customFormat="false" ht="39.75" hidden="false" customHeight="true" outlineLevel="0" collapsed="false"/>
    <row r="64" customFormat="false" ht="39.75" hidden="false" customHeight="true" outlineLevel="0" collapsed="false"/>
    <row r="65" customFormat="false" ht="39.75" hidden="false" customHeight="true" outlineLevel="0" collapsed="false"/>
    <row r="66" customFormat="false" ht="39.75" hidden="false" customHeight="true" outlineLevel="0" collapsed="false"/>
    <row r="67" customFormat="false" ht="39.75" hidden="false" customHeight="true" outlineLevel="0" collapsed="false"/>
    <row r="68" customFormat="false" ht="39.75" hidden="false" customHeight="true" outlineLevel="0" collapsed="false"/>
    <row r="69" customFormat="false" ht="15" hidden="false" customHeight="true" outlineLevel="0" collapsed="false"/>
    <row r="70" customFormat="false" ht="30" hidden="false" customHeight="true" outlineLevel="0" collapsed="false"/>
    <row r="71" customFormat="false" ht="15" hidden="false" customHeight="true" outlineLevel="0" collapsed="false"/>
    <row r="72" customFormat="false" ht="39.75" hidden="false" customHeight="true" outlineLevel="0" collapsed="false"/>
    <row r="73" customFormat="false" ht="39.75" hidden="false" customHeight="true" outlineLevel="0" collapsed="false"/>
    <row r="74" customFormat="false" ht="39.75" hidden="false" customHeight="true" outlineLevel="0" collapsed="false"/>
    <row r="75" customFormat="false" ht="39.75" hidden="false" customHeight="true" outlineLevel="0" collapsed="false"/>
    <row r="76" customFormat="false" ht="39.75" hidden="false" customHeight="true" outlineLevel="0" collapsed="false"/>
    <row r="77" customFormat="false" ht="39.75" hidden="false" customHeight="true" outlineLevel="0" collapsed="false"/>
    <row r="78" customFormat="false" ht="39.75" hidden="false" customHeight="true" outlineLevel="0" collapsed="false"/>
    <row r="79" customFormat="false" ht="15" hidden="false" customHeight="true" outlineLevel="0" collapsed="false"/>
    <row r="80" customFormat="false" ht="30" hidden="false" customHeight="true" outlineLevel="0" collapsed="false"/>
    <row r="81" customFormat="false" ht="15" hidden="false" customHeight="true" outlineLevel="0" collapsed="false"/>
    <row r="82" customFormat="false" ht="39.75" hidden="false" customHeight="true" outlineLevel="0" collapsed="false"/>
    <row r="83" customFormat="false" ht="39.75" hidden="false" customHeight="true" outlineLevel="0" collapsed="false"/>
    <row r="84" customFormat="false" ht="39.75" hidden="false" customHeight="true" outlineLevel="0" collapsed="false"/>
    <row r="85" customFormat="false" ht="39.75" hidden="false" customHeight="true" outlineLevel="0" collapsed="false"/>
    <row r="86" customFormat="false" ht="39.75" hidden="false" customHeight="true" outlineLevel="0" collapsed="false"/>
    <row r="87" customFormat="false" ht="39.75" hidden="false" customHeight="true" outlineLevel="0" collapsed="false"/>
    <row r="88" customFormat="false" ht="39.75" hidden="false" customHeight="true" outlineLevel="0" collapsed="false"/>
    <row r="89" customFormat="false" ht="15" hidden="false" customHeight="true" outlineLevel="0" collapsed="false"/>
    <row r="90" customFormat="false" ht="30" hidden="false" customHeight="true" outlineLevel="0" collapsed="false"/>
    <row r="91" customFormat="false" ht="15" hidden="false" customHeight="true" outlineLevel="0" collapsed="false"/>
    <row r="92" customFormat="false" ht="39.75" hidden="false" customHeight="true" outlineLevel="0" collapsed="false"/>
    <row r="93" customFormat="false" ht="39.75" hidden="false" customHeight="true" outlineLevel="0" collapsed="false"/>
    <row r="94" customFormat="false" ht="39.75" hidden="false" customHeight="true" outlineLevel="0" collapsed="false"/>
    <row r="95" customFormat="false" ht="39.75" hidden="false" customHeight="true" outlineLevel="0" collapsed="false"/>
    <row r="96" customFormat="false" ht="39.75" hidden="false" customHeight="true" outlineLevel="0" collapsed="false"/>
    <row r="97" customFormat="false" ht="39.75" hidden="false" customHeight="true" outlineLevel="0" collapsed="false"/>
    <row r="98" customFormat="false" ht="39.75" hidden="false" customHeight="true" outlineLevel="0" collapsed="false"/>
    <row r="99" customFormat="false" ht="15" hidden="false" customHeight="true" outlineLevel="0" collapsed="false"/>
    <row r="100" customFormat="false" ht="30" hidden="false" customHeight="true" outlineLevel="0" collapsed="false"/>
    <row r="101" customFormat="false" ht="15" hidden="false" customHeight="true" outlineLevel="0" collapsed="false"/>
    <row r="102" customFormat="false" ht="39.75" hidden="false" customHeight="true" outlineLevel="0" collapsed="false"/>
    <row r="103" customFormat="false" ht="39.75" hidden="false" customHeight="true" outlineLevel="0" collapsed="false"/>
    <row r="104" customFormat="false" ht="39.75" hidden="false" customHeight="true" outlineLevel="0" collapsed="false"/>
    <row r="105" customFormat="false" ht="39.75" hidden="false" customHeight="true" outlineLevel="0" collapsed="false"/>
    <row r="106" customFormat="false" ht="39.75" hidden="false" customHeight="true" outlineLevel="0" collapsed="false"/>
    <row r="107" customFormat="false" ht="39.75" hidden="false" customHeight="true" outlineLevel="0" collapsed="false"/>
    <row r="108" customFormat="false" ht="39.75" hidden="false" customHeight="true" outlineLevel="0" collapsed="false"/>
    <row r="109" customFormat="false" ht="15" hidden="false" customHeight="true" outlineLevel="0" collapsed="false"/>
    <row r="110" customFormat="false" ht="30" hidden="false" customHeight="true" outlineLevel="0" collapsed="false"/>
    <row r="111" customFormat="false" ht="15" hidden="false" customHeight="true" outlineLevel="0" collapsed="false"/>
    <row r="112" customFormat="false" ht="39.75" hidden="false" customHeight="true" outlineLevel="0" collapsed="false"/>
    <row r="113" customFormat="false" ht="39.75" hidden="false" customHeight="true" outlineLevel="0" collapsed="false"/>
    <row r="114" customFormat="false" ht="39.75" hidden="false" customHeight="true" outlineLevel="0" collapsed="false"/>
    <row r="115" customFormat="false" ht="39.75" hidden="false" customHeight="true" outlineLevel="0" collapsed="false"/>
    <row r="116" customFormat="false" ht="39.75" hidden="false" customHeight="true" outlineLevel="0" collapsed="false"/>
    <row r="117" customFormat="false" ht="39.75" hidden="false" customHeight="true" outlineLevel="0" collapsed="false"/>
    <row r="118" customFormat="false" ht="39.75" hidden="false" customHeight="true" outlineLevel="0" collapsed="false"/>
    <row r="119" customFormat="false" ht="15" hidden="false" customHeight="true" outlineLevel="0" collapsed="false"/>
    <row r="120" customFormat="false" ht="30" hidden="false" customHeight="true" outlineLevel="0" collapsed="false"/>
    <row r="121" customFormat="false" ht="15" hidden="false" customHeight="true" outlineLevel="0" collapsed="false"/>
    <row r="122" customFormat="false" ht="39.75" hidden="false" customHeight="true" outlineLevel="0" collapsed="false"/>
    <row r="123" customFormat="false" ht="39.75" hidden="false" customHeight="true" outlineLevel="0" collapsed="false"/>
    <row r="124" customFormat="false" ht="39.75" hidden="false" customHeight="true" outlineLevel="0" collapsed="false"/>
    <row r="125" customFormat="false" ht="39.75" hidden="false" customHeight="true" outlineLevel="0" collapsed="false"/>
    <row r="126" customFormat="false" ht="39.75" hidden="false" customHeight="true" outlineLevel="0" collapsed="false"/>
    <row r="127" customFormat="false" ht="39.75" hidden="false" customHeight="true" outlineLevel="0" collapsed="false"/>
    <row r="128" customFormat="false" ht="39.75" hidden="false" customHeight="true" outlineLevel="0" collapsed="false"/>
    <row r="129" customFormat="false" ht="15" hidden="false" customHeight="true" outlineLevel="0" collapsed="false"/>
    <row r="130" customFormat="false" ht="30" hidden="false" customHeight="true" outlineLevel="0" collapsed="false"/>
    <row r="131" customFormat="false" ht="15" hidden="false" customHeight="true" outlineLevel="0" collapsed="false"/>
    <row r="132" customFormat="false" ht="39.75" hidden="false" customHeight="true" outlineLevel="0" collapsed="false"/>
    <row r="133" customFormat="false" ht="39.75" hidden="false" customHeight="true" outlineLevel="0" collapsed="false"/>
    <row r="134" customFormat="false" ht="39.75" hidden="false" customHeight="true" outlineLevel="0" collapsed="false"/>
    <row r="135" customFormat="false" ht="39.75" hidden="false" customHeight="true" outlineLevel="0" collapsed="false"/>
    <row r="136" customFormat="false" ht="39.75" hidden="false" customHeight="true" outlineLevel="0" collapsed="false"/>
    <row r="137" customFormat="false" ht="39.75" hidden="false" customHeight="true" outlineLevel="0" collapsed="false"/>
    <row r="138" customFormat="false" ht="39.75" hidden="false" customHeight="true" outlineLevel="0" collapsed="false"/>
    <row r="139" customFormat="false" ht="15" hidden="false" customHeight="true" outlineLevel="0" collapsed="false"/>
    <row r="140" customFormat="false" ht="30" hidden="false" customHeight="true" outlineLevel="0" collapsed="false"/>
    <row r="141" customFormat="false" ht="15" hidden="false" customHeight="true" outlineLevel="0" collapsed="false"/>
    <row r="142" customFormat="false" ht="39.75" hidden="false" customHeight="true" outlineLevel="0" collapsed="false"/>
    <row r="143" customFormat="false" ht="39.75" hidden="false" customHeight="true" outlineLevel="0" collapsed="false"/>
    <row r="144" customFormat="false" ht="39.75" hidden="false" customHeight="true" outlineLevel="0" collapsed="false"/>
    <row r="145" customFormat="false" ht="39.75" hidden="false" customHeight="true" outlineLevel="0" collapsed="false"/>
    <row r="146" customFormat="false" ht="39.75" hidden="false" customHeight="true" outlineLevel="0" collapsed="false"/>
    <row r="147" customFormat="false" ht="39.75" hidden="false" customHeight="true" outlineLevel="0" collapsed="false"/>
    <row r="148" customFormat="false" ht="39.75" hidden="false" customHeight="true" outlineLevel="0" collapsed="false"/>
    <row r="149" customFormat="false" ht="15" hidden="false" customHeight="true" outlineLevel="0" collapsed="false"/>
    <row r="150" customFormat="false" ht="30" hidden="false" customHeight="true" outlineLevel="0" collapsed="false"/>
    <row r="151" customFormat="false" ht="15" hidden="false" customHeight="true" outlineLevel="0" collapsed="false"/>
    <row r="152" customFormat="false" ht="39.75" hidden="false" customHeight="true" outlineLevel="0" collapsed="false"/>
    <row r="153" customFormat="false" ht="39.75" hidden="false" customHeight="true" outlineLevel="0" collapsed="false"/>
    <row r="154" customFormat="false" ht="39.75" hidden="false" customHeight="true" outlineLevel="0" collapsed="false"/>
    <row r="155" customFormat="false" ht="39.75" hidden="false" customHeight="true" outlineLevel="0" collapsed="false"/>
    <row r="156" customFormat="false" ht="39.75" hidden="false" customHeight="true" outlineLevel="0" collapsed="false"/>
    <row r="157" customFormat="false" ht="39.75" hidden="false" customHeight="true" outlineLevel="0" collapsed="false"/>
    <row r="158" customFormat="false" ht="39.75" hidden="false" customHeight="true" outlineLevel="0" collapsed="false"/>
    <row r="159" customFormat="false" ht="15" hidden="false" customHeight="true" outlineLevel="0" collapsed="false"/>
    <row r="160" customFormat="false" ht="30" hidden="false" customHeight="true" outlineLevel="0" collapsed="false"/>
    <row r="161" customFormat="false" ht="15" hidden="false" customHeight="true" outlineLevel="0" collapsed="false"/>
    <row r="162" customFormat="false" ht="39.75" hidden="false" customHeight="true" outlineLevel="0" collapsed="false"/>
    <row r="163" customFormat="false" ht="39.75" hidden="false" customHeight="true" outlineLevel="0" collapsed="false"/>
    <row r="164" customFormat="false" ht="39.75" hidden="false" customHeight="true" outlineLevel="0" collapsed="false"/>
    <row r="165" customFormat="false" ht="39.75" hidden="false" customHeight="true" outlineLevel="0" collapsed="false"/>
    <row r="166" customFormat="false" ht="39.75" hidden="false" customHeight="true" outlineLevel="0" collapsed="false"/>
    <row r="167" customFormat="false" ht="39.75" hidden="false" customHeight="true" outlineLevel="0" collapsed="false"/>
    <row r="168" customFormat="false" ht="39.75" hidden="false" customHeight="true" outlineLevel="0" collapsed="false"/>
    <row r="169" customFormat="false" ht="15" hidden="false" customHeight="true" outlineLevel="0" collapsed="false"/>
    <row r="170" customFormat="false" ht="30" hidden="false" customHeight="true" outlineLevel="0" collapsed="false"/>
    <row r="171" customFormat="false" ht="15" hidden="false" customHeight="true" outlineLevel="0" collapsed="false"/>
    <row r="172" customFormat="false" ht="39.75" hidden="false" customHeight="true" outlineLevel="0" collapsed="false"/>
    <row r="173" customFormat="false" ht="39.75" hidden="false" customHeight="true" outlineLevel="0" collapsed="false"/>
    <row r="174" customFormat="false" ht="39.75" hidden="false" customHeight="true" outlineLevel="0" collapsed="false"/>
    <row r="175" customFormat="false" ht="39.75" hidden="false" customHeight="true" outlineLevel="0" collapsed="false"/>
    <row r="176" customFormat="false" ht="39.75" hidden="false" customHeight="true" outlineLevel="0" collapsed="false"/>
    <row r="177" customFormat="false" ht="39.75" hidden="false" customHeight="true" outlineLevel="0" collapsed="false"/>
    <row r="178" customFormat="false" ht="39.75" hidden="false" customHeight="true" outlineLevel="0" collapsed="false"/>
    <row r="179" customFormat="false" ht="15" hidden="false" customHeight="true" outlineLevel="0" collapsed="false"/>
    <row r="180" customFormat="false" ht="30" hidden="false" customHeight="true" outlineLevel="0" collapsed="false"/>
    <row r="181" customFormat="false" ht="15" hidden="false" customHeight="true" outlineLevel="0" collapsed="false"/>
    <row r="182" customFormat="false" ht="39.75" hidden="false" customHeight="true" outlineLevel="0" collapsed="false"/>
    <row r="183" customFormat="false" ht="39.75" hidden="false" customHeight="true" outlineLevel="0" collapsed="false"/>
    <row r="184" customFormat="false" ht="39.75" hidden="false" customHeight="true" outlineLevel="0" collapsed="false"/>
    <row r="185" customFormat="false" ht="39.75" hidden="false" customHeight="true" outlineLevel="0" collapsed="false"/>
    <row r="186" customFormat="false" ht="39.75" hidden="false" customHeight="true" outlineLevel="0" collapsed="false"/>
    <row r="187" customFormat="false" ht="39.75" hidden="false" customHeight="true" outlineLevel="0" collapsed="false"/>
    <row r="188" customFormat="false" ht="39.75" hidden="false" customHeight="true" outlineLevel="0" collapsed="false"/>
    <row r="189" customFormat="false" ht="15" hidden="false" customHeight="true" outlineLevel="0" collapsed="false"/>
    <row r="190" customFormat="false" ht="30" hidden="false" customHeight="true" outlineLevel="0" collapsed="false"/>
    <row r="191" customFormat="false" ht="15" hidden="false" customHeight="true" outlineLevel="0" collapsed="false"/>
    <row r="192" customFormat="false" ht="39.75" hidden="false" customHeight="true" outlineLevel="0" collapsed="false"/>
    <row r="193" customFormat="false" ht="39.75" hidden="false" customHeight="true" outlineLevel="0" collapsed="false"/>
    <row r="194" customFormat="false" ht="39.75" hidden="false" customHeight="true" outlineLevel="0" collapsed="false"/>
    <row r="195" customFormat="false" ht="39.75" hidden="false" customHeight="true" outlineLevel="0" collapsed="false"/>
    <row r="196" customFormat="false" ht="39.75" hidden="false" customHeight="true" outlineLevel="0" collapsed="false"/>
    <row r="197" customFormat="false" ht="39.75" hidden="false" customHeight="true" outlineLevel="0" collapsed="false"/>
    <row r="198" customFormat="false" ht="39.75" hidden="false" customHeight="true" outlineLevel="0" collapsed="false"/>
    <row r="199" customFormat="false" ht="15" hidden="false" customHeight="true" outlineLevel="0" collapsed="false"/>
    <row r="200" customFormat="false" ht="30" hidden="false" customHeight="true" outlineLevel="0" collapsed="false"/>
    <row r="201" customFormat="false" ht="15" hidden="false" customHeight="true" outlineLevel="0" collapsed="false"/>
    <row r="202" customFormat="false" ht="39.75" hidden="false" customHeight="true" outlineLevel="0" collapsed="false"/>
    <row r="203" customFormat="false" ht="39.75" hidden="false" customHeight="true" outlineLevel="0" collapsed="false"/>
    <row r="204" customFormat="false" ht="39.75" hidden="false" customHeight="true" outlineLevel="0" collapsed="false"/>
    <row r="205" customFormat="false" ht="39.75" hidden="false" customHeight="true" outlineLevel="0" collapsed="false"/>
    <row r="206" customFormat="false" ht="39.75" hidden="false" customHeight="true" outlineLevel="0" collapsed="false"/>
    <row r="207" customFormat="false" ht="39.75" hidden="false" customHeight="true" outlineLevel="0" collapsed="false"/>
    <row r="208" customFormat="false" ht="39.75" hidden="false" customHeight="true" outlineLevel="0" collapsed="false"/>
    <row r="209" customFormat="false" ht="15" hidden="false" customHeight="true" outlineLevel="0" collapsed="false"/>
    <row r="210" customFormat="false" ht="30" hidden="false" customHeight="true" outlineLevel="0" collapsed="false"/>
    <row r="211" customFormat="false" ht="15" hidden="false" customHeight="true" outlineLevel="0" collapsed="false"/>
    <row r="212" customFormat="false" ht="39.75" hidden="false" customHeight="true" outlineLevel="0" collapsed="false"/>
    <row r="213" customFormat="false" ht="39.75" hidden="false" customHeight="true" outlineLevel="0" collapsed="false"/>
    <row r="214" customFormat="false" ht="39.75" hidden="false" customHeight="true" outlineLevel="0" collapsed="false"/>
    <row r="215" customFormat="false" ht="39.75" hidden="false" customHeight="true" outlineLevel="0" collapsed="false"/>
    <row r="216" customFormat="false" ht="39.75" hidden="false" customHeight="true" outlineLevel="0" collapsed="false"/>
    <row r="217" customFormat="false" ht="39.75" hidden="false" customHeight="true" outlineLevel="0" collapsed="false"/>
    <row r="218" customFormat="false" ht="39.75" hidden="false" customHeight="true" outlineLevel="0" collapsed="false"/>
    <row r="219" customFormat="false" ht="15" hidden="false" customHeight="true" outlineLevel="0" collapsed="false"/>
    <row r="220" customFormat="false" ht="30" hidden="false" customHeight="true" outlineLevel="0" collapsed="false"/>
    <row r="221" customFormat="false" ht="15" hidden="false" customHeight="true" outlineLevel="0" collapsed="false"/>
    <row r="222" customFormat="false" ht="39.75" hidden="false" customHeight="true" outlineLevel="0" collapsed="false"/>
    <row r="223" customFormat="false" ht="39.75" hidden="false" customHeight="true" outlineLevel="0" collapsed="false"/>
    <row r="224" customFormat="false" ht="39.75" hidden="false" customHeight="true" outlineLevel="0" collapsed="false"/>
    <row r="225" customFormat="false" ht="39.75" hidden="false" customHeight="true" outlineLevel="0" collapsed="false"/>
    <row r="226" customFormat="false" ht="39.75" hidden="false" customHeight="true" outlineLevel="0" collapsed="false"/>
    <row r="227" customFormat="false" ht="39.75" hidden="false" customHeight="true" outlineLevel="0" collapsed="false"/>
    <row r="228" customFormat="false" ht="39.75" hidden="false" customHeight="true" outlineLevel="0" collapsed="false"/>
    <row r="229" customFormat="false" ht="15" hidden="false" customHeight="true" outlineLevel="0" collapsed="false"/>
    <row r="230" customFormat="false" ht="30" hidden="false" customHeight="true" outlineLevel="0" collapsed="false"/>
    <row r="231" customFormat="false" ht="15" hidden="false" customHeight="true" outlineLevel="0" collapsed="false"/>
    <row r="232" customFormat="false" ht="39.75" hidden="false" customHeight="true" outlineLevel="0" collapsed="false"/>
    <row r="233" customFormat="false" ht="39.75" hidden="false" customHeight="true" outlineLevel="0" collapsed="false"/>
    <row r="234" customFormat="false" ht="39.75" hidden="false" customHeight="true" outlineLevel="0" collapsed="false"/>
    <row r="235" customFormat="false" ht="39.75" hidden="false" customHeight="true" outlineLevel="0" collapsed="false"/>
    <row r="236" customFormat="false" ht="39.75" hidden="false" customHeight="true" outlineLevel="0" collapsed="false"/>
    <row r="237" customFormat="false" ht="39.75" hidden="false" customHeight="true" outlineLevel="0" collapsed="false"/>
    <row r="238" customFormat="false" ht="39.75" hidden="false" customHeight="true" outlineLevel="0" collapsed="false"/>
    <row r="239" customFormat="false" ht="15" hidden="false" customHeight="true" outlineLevel="0" collapsed="false"/>
    <row r="240" customFormat="false" ht="30" hidden="false" customHeight="true" outlineLevel="0" collapsed="false"/>
  </sheetData>
  <mergeCells count="5">
    <mergeCell ref="B4:H4"/>
    <mergeCell ref="A6:I6"/>
    <mergeCell ref="A7:I7"/>
    <mergeCell ref="A11:I11"/>
    <mergeCell ref="C18:G18"/>
  </mergeCells>
  <printOptions headings="false" gridLines="false" gridLinesSet="true" horizontalCentered="true" verticalCentered="false"/>
  <pageMargins left="0.39375" right="0.39375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3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75" zoomScalePageLayoutView="75" workbookViewId="0">
      <selection pane="topLeft" activeCell="W14" activeCellId="0" sqref="W14"/>
    </sheetView>
  </sheetViews>
  <sheetFormatPr defaultColWidth="8.75" defaultRowHeight="16.5" zeroHeight="false" outlineLevelRow="0" outlineLevelCol="0"/>
  <cols>
    <col collapsed="false" customWidth="true" hidden="false" outlineLevel="0" max="1" min="1" style="42" width="2.63"/>
    <col collapsed="false" customWidth="true" hidden="false" outlineLevel="0" max="2" min="2" style="42" width="12.13"/>
    <col collapsed="false" customWidth="true" hidden="false" outlineLevel="0" max="5" min="3" style="42" width="16.25"/>
    <col collapsed="false" customWidth="true" hidden="false" outlineLevel="0" max="6" min="6" style="42" width="18"/>
    <col collapsed="false" customWidth="true" hidden="false" outlineLevel="0" max="7" min="7" style="42" width="2.63"/>
    <col collapsed="false" customWidth="false" hidden="false" outlineLevel="0" max="16384" min="8" style="42" width="8.75"/>
  </cols>
  <sheetData>
    <row r="1" customFormat="false" ht="12" hidden="false" customHeight="true" outlineLevel="0" collapsed="false"/>
    <row r="2" customFormat="false" ht="33.75" hidden="false" customHeight="true" outlineLevel="0" collapsed="false">
      <c r="A2" s="421" t="s">
        <v>744</v>
      </c>
      <c r="B2" s="421"/>
      <c r="C2" s="421"/>
      <c r="D2" s="421"/>
      <c r="E2" s="421"/>
      <c r="F2" s="421"/>
      <c r="G2" s="421"/>
    </row>
    <row r="3" customFormat="false" ht="24.75" hidden="false" customHeight="true" outlineLevel="0" collapsed="false">
      <c r="F3" s="422" t="str">
        <f aca="false">공사정보_출력X!C2</f>
        <v>(예시) OO부대 시설물 보수공사</v>
      </c>
      <c r="G3" s="72"/>
    </row>
    <row r="4" customFormat="false" ht="15" hidden="false" customHeight="true" outlineLevel="0" collapsed="false">
      <c r="A4" s="402"/>
      <c r="B4" s="423"/>
      <c r="C4" s="423"/>
      <c r="D4" s="423"/>
      <c r="E4" s="423"/>
      <c r="F4" s="423"/>
      <c r="G4" s="404"/>
    </row>
    <row r="5" customFormat="false" ht="39.75" hidden="false" customHeight="true" outlineLevel="0" collapsed="false">
      <c r="A5" s="424"/>
      <c r="B5" s="425"/>
      <c r="C5" s="425"/>
      <c r="D5" s="425"/>
      <c r="E5" s="425"/>
      <c r="F5" s="425"/>
      <c r="G5" s="426"/>
      <c r="H5" s="3"/>
    </row>
    <row r="6" customFormat="false" ht="39.75" hidden="false" customHeight="true" outlineLevel="0" collapsed="false">
      <c r="A6" s="424"/>
      <c r="B6" s="425"/>
      <c r="C6" s="425"/>
      <c r="D6" s="425"/>
      <c r="E6" s="425"/>
      <c r="F6" s="425"/>
      <c r="G6" s="426"/>
      <c r="J6" s="3"/>
    </row>
    <row r="7" customFormat="false" ht="39.75" hidden="false" customHeight="true" outlineLevel="0" collapsed="false">
      <c r="A7" s="424"/>
      <c r="B7" s="425"/>
      <c r="C7" s="425"/>
      <c r="D7" s="425"/>
      <c r="E7" s="425"/>
      <c r="F7" s="425"/>
      <c r="G7" s="426"/>
    </row>
    <row r="8" customFormat="false" ht="39.75" hidden="false" customHeight="true" outlineLevel="0" collapsed="false">
      <c r="A8" s="424"/>
      <c r="B8" s="425"/>
      <c r="C8" s="425"/>
      <c r="D8" s="425"/>
      <c r="E8" s="425"/>
      <c r="F8" s="425"/>
      <c r="G8" s="426"/>
    </row>
    <row r="9" customFormat="false" ht="39.75" hidden="false" customHeight="true" outlineLevel="0" collapsed="false">
      <c r="A9" s="424"/>
      <c r="B9" s="425"/>
      <c r="C9" s="425"/>
      <c r="D9" s="425"/>
      <c r="E9" s="425"/>
      <c r="F9" s="425"/>
      <c r="G9" s="426"/>
    </row>
    <row r="10" customFormat="false" ht="39.75" hidden="false" customHeight="true" outlineLevel="0" collapsed="false">
      <c r="A10" s="424"/>
      <c r="B10" s="425"/>
      <c r="C10" s="425"/>
      <c r="D10" s="425"/>
      <c r="E10" s="425"/>
      <c r="F10" s="425"/>
      <c r="G10" s="426"/>
    </row>
    <row r="11" customFormat="false" ht="39.75" hidden="false" customHeight="true" outlineLevel="0" collapsed="false">
      <c r="A11" s="424"/>
      <c r="B11" s="425"/>
      <c r="C11" s="425"/>
      <c r="D11" s="425"/>
      <c r="E11" s="425"/>
      <c r="F11" s="425"/>
      <c r="G11" s="426"/>
    </row>
    <row r="12" customFormat="false" ht="15" hidden="false" customHeight="true" outlineLevel="0" collapsed="false">
      <c r="A12" s="405"/>
      <c r="B12" s="309"/>
      <c r="C12" s="309"/>
      <c r="D12" s="309"/>
      <c r="E12" s="309"/>
      <c r="F12" s="309"/>
      <c r="G12" s="406"/>
    </row>
    <row r="13" customFormat="false" ht="30" hidden="false" customHeight="true" outlineLevel="0" collapsed="false">
      <c r="A13" s="427" t="s">
        <v>129</v>
      </c>
      <c r="B13" s="427"/>
      <c r="C13" s="428" t="s">
        <v>745</v>
      </c>
      <c r="D13" s="428"/>
      <c r="E13" s="428"/>
      <c r="F13" s="428"/>
      <c r="G13" s="428"/>
    </row>
    <row r="14" customFormat="false" ht="15" hidden="false" customHeight="true" outlineLevel="0" collapsed="false">
      <c r="A14" s="402"/>
      <c r="B14" s="423"/>
      <c r="C14" s="423"/>
      <c r="D14" s="423"/>
      <c r="E14" s="423"/>
      <c r="F14" s="423"/>
      <c r="G14" s="404"/>
    </row>
    <row r="15" customFormat="false" ht="39.75" hidden="false" customHeight="true" outlineLevel="0" collapsed="false">
      <c r="A15" s="424"/>
      <c r="B15" s="425"/>
      <c r="C15" s="425"/>
      <c r="D15" s="425"/>
      <c r="E15" s="425"/>
      <c r="F15" s="425"/>
      <c r="G15" s="426"/>
    </row>
    <row r="16" customFormat="false" ht="39.75" hidden="false" customHeight="true" outlineLevel="0" collapsed="false">
      <c r="A16" s="424"/>
      <c r="B16" s="425"/>
      <c r="C16" s="425"/>
      <c r="D16" s="425"/>
      <c r="E16" s="425"/>
      <c r="F16" s="425"/>
      <c r="G16" s="426"/>
    </row>
    <row r="17" customFormat="false" ht="39.75" hidden="false" customHeight="true" outlineLevel="0" collapsed="false">
      <c r="A17" s="424"/>
      <c r="B17" s="425"/>
      <c r="C17" s="425"/>
      <c r="D17" s="425"/>
      <c r="E17" s="425"/>
      <c r="F17" s="425"/>
      <c r="G17" s="426"/>
    </row>
    <row r="18" customFormat="false" ht="39.75" hidden="false" customHeight="true" outlineLevel="0" collapsed="false">
      <c r="A18" s="424"/>
      <c r="B18" s="425"/>
      <c r="C18" s="425"/>
      <c r="D18" s="425"/>
      <c r="E18" s="425"/>
      <c r="F18" s="425"/>
      <c r="G18" s="426"/>
    </row>
    <row r="19" customFormat="false" ht="39.75" hidden="false" customHeight="true" outlineLevel="0" collapsed="false">
      <c r="A19" s="424"/>
      <c r="B19" s="425"/>
      <c r="C19" s="425"/>
      <c r="D19" s="425"/>
      <c r="E19" s="425"/>
      <c r="F19" s="425"/>
      <c r="G19" s="426"/>
      <c r="I19" s="3"/>
    </row>
    <row r="20" customFormat="false" ht="39.75" hidden="false" customHeight="true" outlineLevel="0" collapsed="false">
      <c r="A20" s="424"/>
      <c r="B20" s="425"/>
      <c r="C20" s="425"/>
      <c r="D20" s="425"/>
      <c r="E20" s="425"/>
      <c r="F20" s="425"/>
      <c r="G20" s="426"/>
    </row>
    <row r="21" customFormat="false" ht="39.75" hidden="false" customHeight="true" outlineLevel="0" collapsed="false">
      <c r="A21" s="424"/>
      <c r="B21" s="425"/>
      <c r="C21" s="425"/>
      <c r="D21" s="425"/>
      <c r="E21" s="425"/>
      <c r="F21" s="425"/>
      <c r="G21" s="426"/>
    </row>
    <row r="22" customFormat="false" ht="15" hidden="false" customHeight="true" outlineLevel="0" collapsed="false">
      <c r="A22" s="405"/>
      <c r="B22" s="309"/>
      <c r="C22" s="309"/>
      <c r="D22" s="309"/>
      <c r="E22" s="309"/>
      <c r="F22" s="309"/>
      <c r="G22" s="406"/>
    </row>
    <row r="23" customFormat="false" ht="30" hidden="false" customHeight="true" outlineLevel="0" collapsed="false">
      <c r="A23" s="427" t="s">
        <v>129</v>
      </c>
      <c r="B23" s="427"/>
      <c r="C23" s="428" t="s">
        <v>746</v>
      </c>
      <c r="D23" s="428"/>
      <c r="E23" s="428"/>
      <c r="F23" s="428"/>
      <c r="G23" s="428"/>
    </row>
    <row r="24" customFormat="false" ht="15" hidden="false" customHeight="true" outlineLevel="0" collapsed="false">
      <c r="A24" s="402"/>
      <c r="B24" s="423"/>
      <c r="C24" s="423"/>
      <c r="D24" s="423"/>
      <c r="E24" s="423"/>
      <c r="F24" s="423"/>
      <c r="G24" s="404"/>
    </row>
    <row r="25" customFormat="false" ht="39.75" hidden="false" customHeight="true" outlineLevel="0" collapsed="false">
      <c r="A25" s="424"/>
      <c r="B25" s="425"/>
      <c r="C25" s="425"/>
      <c r="D25" s="425"/>
      <c r="E25" s="425"/>
      <c r="F25" s="425"/>
      <c r="G25" s="426"/>
      <c r="H25" s="3"/>
    </row>
    <row r="26" customFormat="false" ht="39.75" hidden="false" customHeight="true" outlineLevel="0" collapsed="false">
      <c r="A26" s="424"/>
      <c r="B26" s="425"/>
      <c r="C26" s="425"/>
      <c r="D26" s="425"/>
      <c r="E26" s="425"/>
      <c r="F26" s="425"/>
      <c r="G26" s="426"/>
      <c r="J26" s="3"/>
    </row>
    <row r="27" customFormat="false" ht="39.75" hidden="false" customHeight="true" outlineLevel="0" collapsed="false">
      <c r="A27" s="424"/>
      <c r="B27" s="425"/>
      <c r="C27" s="425"/>
      <c r="D27" s="425"/>
      <c r="E27" s="425"/>
      <c r="F27" s="425"/>
      <c r="G27" s="426"/>
    </row>
    <row r="28" customFormat="false" ht="39.75" hidden="false" customHeight="true" outlineLevel="0" collapsed="false">
      <c r="A28" s="424"/>
      <c r="B28" s="425"/>
      <c r="C28" s="425"/>
      <c r="D28" s="425"/>
      <c r="E28" s="425"/>
      <c r="F28" s="425"/>
      <c r="G28" s="426"/>
    </row>
    <row r="29" customFormat="false" ht="39.75" hidden="false" customHeight="true" outlineLevel="0" collapsed="false">
      <c r="A29" s="424"/>
      <c r="B29" s="425"/>
      <c r="C29" s="425"/>
      <c r="D29" s="425"/>
      <c r="E29" s="425"/>
      <c r="F29" s="425"/>
      <c r="G29" s="426"/>
    </row>
    <row r="30" customFormat="false" ht="39.75" hidden="false" customHeight="true" outlineLevel="0" collapsed="false">
      <c r="A30" s="424"/>
      <c r="B30" s="425"/>
      <c r="C30" s="425"/>
      <c r="D30" s="425"/>
      <c r="E30" s="425"/>
      <c r="F30" s="425"/>
      <c r="G30" s="426"/>
    </row>
    <row r="31" customFormat="false" ht="39.75" hidden="false" customHeight="true" outlineLevel="0" collapsed="false">
      <c r="A31" s="424"/>
      <c r="B31" s="425"/>
      <c r="C31" s="425"/>
      <c r="D31" s="425"/>
      <c r="E31" s="425"/>
      <c r="F31" s="425"/>
      <c r="G31" s="426"/>
    </row>
    <row r="32" customFormat="false" ht="15" hidden="false" customHeight="true" outlineLevel="0" collapsed="false">
      <c r="A32" s="405"/>
      <c r="B32" s="309"/>
      <c r="C32" s="309"/>
      <c r="D32" s="309"/>
      <c r="E32" s="309"/>
      <c r="F32" s="309"/>
      <c r="G32" s="406"/>
    </row>
    <row r="33" customFormat="false" ht="30" hidden="false" customHeight="true" outlineLevel="0" collapsed="false">
      <c r="A33" s="427" t="s">
        <v>129</v>
      </c>
      <c r="B33" s="427"/>
      <c r="C33" s="428" t="s">
        <v>747</v>
      </c>
      <c r="D33" s="428"/>
      <c r="E33" s="428"/>
      <c r="F33" s="428"/>
      <c r="G33" s="428"/>
    </row>
    <row r="34" customFormat="false" ht="15" hidden="false" customHeight="true" outlineLevel="0" collapsed="false">
      <c r="A34" s="402"/>
      <c r="B34" s="423"/>
      <c r="C34" s="423"/>
      <c r="D34" s="423"/>
      <c r="E34" s="423"/>
      <c r="F34" s="423"/>
      <c r="G34" s="404"/>
    </row>
    <row r="35" customFormat="false" ht="39.75" hidden="false" customHeight="true" outlineLevel="0" collapsed="false">
      <c r="A35" s="424"/>
      <c r="B35" s="425"/>
      <c r="C35" s="425"/>
      <c r="D35" s="425"/>
      <c r="E35" s="425"/>
      <c r="F35" s="425"/>
      <c r="G35" s="426"/>
    </row>
    <row r="36" customFormat="false" ht="39.75" hidden="false" customHeight="true" outlineLevel="0" collapsed="false">
      <c r="A36" s="424"/>
      <c r="B36" s="425"/>
      <c r="C36" s="425"/>
      <c r="D36" s="425"/>
      <c r="E36" s="425"/>
      <c r="F36" s="425"/>
      <c r="G36" s="426"/>
    </row>
    <row r="37" customFormat="false" ht="39.75" hidden="false" customHeight="true" outlineLevel="0" collapsed="false">
      <c r="A37" s="424"/>
      <c r="B37" s="425"/>
      <c r="C37" s="425"/>
      <c r="D37" s="425"/>
      <c r="E37" s="425"/>
      <c r="F37" s="425"/>
      <c r="G37" s="426"/>
    </row>
    <row r="38" customFormat="false" ht="39.75" hidden="false" customHeight="true" outlineLevel="0" collapsed="false">
      <c r="A38" s="424"/>
      <c r="B38" s="425"/>
      <c r="C38" s="425"/>
      <c r="D38" s="425"/>
      <c r="E38" s="425"/>
      <c r="F38" s="425"/>
      <c r="G38" s="426"/>
    </row>
    <row r="39" customFormat="false" ht="39.75" hidden="false" customHeight="true" outlineLevel="0" collapsed="false">
      <c r="A39" s="424"/>
      <c r="B39" s="425"/>
      <c r="C39" s="425"/>
      <c r="D39" s="425"/>
      <c r="E39" s="425"/>
      <c r="F39" s="425"/>
      <c r="G39" s="426"/>
      <c r="I39" s="3"/>
    </row>
    <row r="40" customFormat="false" ht="39.75" hidden="false" customHeight="true" outlineLevel="0" collapsed="false">
      <c r="A40" s="424"/>
      <c r="B40" s="425"/>
      <c r="C40" s="425"/>
      <c r="D40" s="425"/>
      <c r="E40" s="425"/>
      <c r="F40" s="425"/>
      <c r="G40" s="426"/>
    </row>
    <row r="41" customFormat="false" ht="39.75" hidden="false" customHeight="true" outlineLevel="0" collapsed="false">
      <c r="A41" s="424"/>
      <c r="B41" s="425"/>
      <c r="C41" s="425"/>
      <c r="D41" s="425"/>
      <c r="E41" s="425"/>
      <c r="F41" s="425"/>
      <c r="G41" s="426"/>
    </row>
    <row r="42" customFormat="false" ht="15" hidden="false" customHeight="true" outlineLevel="0" collapsed="false">
      <c r="A42" s="405"/>
      <c r="B42" s="309"/>
      <c r="C42" s="309"/>
      <c r="D42" s="309"/>
      <c r="E42" s="309"/>
      <c r="F42" s="309"/>
      <c r="G42" s="406"/>
    </row>
    <row r="43" customFormat="false" ht="30" hidden="false" customHeight="true" outlineLevel="0" collapsed="false">
      <c r="A43" s="427" t="s">
        <v>129</v>
      </c>
      <c r="B43" s="427"/>
      <c r="C43" s="428" t="s">
        <v>748</v>
      </c>
      <c r="D43" s="428"/>
      <c r="E43" s="428"/>
      <c r="F43" s="428"/>
      <c r="G43" s="428"/>
    </row>
    <row r="44" customFormat="false" ht="15" hidden="true" customHeight="true" outlineLevel="0" collapsed="false">
      <c r="A44" s="402"/>
      <c r="B44" s="423"/>
      <c r="C44" s="423"/>
      <c r="D44" s="423"/>
      <c r="E44" s="423"/>
      <c r="F44" s="423"/>
      <c r="G44" s="404"/>
    </row>
    <row r="45" customFormat="false" ht="39.75" hidden="true" customHeight="true" outlineLevel="0" collapsed="false">
      <c r="A45" s="424"/>
      <c r="B45" s="425"/>
      <c r="C45" s="425"/>
      <c r="D45" s="425"/>
      <c r="E45" s="425"/>
      <c r="F45" s="425"/>
      <c r="G45" s="426"/>
    </row>
    <row r="46" customFormat="false" ht="39.75" hidden="true" customHeight="true" outlineLevel="0" collapsed="false">
      <c r="A46" s="424"/>
      <c r="B46" s="425"/>
      <c r="C46" s="425"/>
      <c r="D46" s="425"/>
      <c r="E46" s="425"/>
      <c r="F46" s="425"/>
      <c r="G46" s="426"/>
    </row>
    <row r="47" customFormat="false" ht="39.75" hidden="true" customHeight="true" outlineLevel="0" collapsed="false">
      <c r="A47" s="424"/>
      <c r="B47" s="425"/>
      <c r="C47" s="425"/>
      <c r="D47" s="425"/>
      <c r="E47" s="425"/>
      <c r="F47" s="425"/>
      <c r="G47" s="426"/>
    </row>
    <row r="48" customFormat="false" ht="39.75" hidden="true" customHeight="true" outlineLevel="0" collapsed="false">
      <c r="A48" s="424"/>
      <c r="B48" s="425"/>
      <c r="C48" s="425"/>
      <c r="D48" s="425"/>
      <c r="E48" s="425"/>
      <c r="F48" s="425"/>
      <c r="G48" s="426"/>
    </row>
    <row r="49" customFormat="false" ht="39.75" hidden="true" customHeight="true" outlineLevel="0" collapsed="false">
      <c r="A49" s="424"/>
      <c r="B49" s="425"/>
      <c r="C49" s="425"/>
      <c r="D49" s="425"/>
      <c r="E49" s="425"/>
      <c r="F49" s="425"/>
      <c r="G49" s="426"/>
    </row>
    <row r="50" customFormat="false" ht="39.75" hidden="true" customHeight="true" outlineLevel="0" collapsed="false">
      <c r="A50" s="424"/>
      <c r="B50" s="425"/>
      <c r="C50" s="425"/>
      <c r="D50" s="425"/>
      <c r="E50" s="425"/>
      <c r="F50" s="425"/>
      <c r="G50" s="426"/>
    </row>
    <row r="51" customFormat="false" ht="39.75" hidden="true" customHeight="true" outlineLevel="0" collapsed="false">
      <c r="A51" s="424"/>
      <c r="B51" s="425"/>
      <c r="C51" s="425"/>
      <c r="D51" s="425"/>
      <c r="E51" s="425"/>
      <c r="F51" s="425"/>
      <c r="G51" s="426"/>
    </row>
    <row r="52" customFormat="false" ht="15" hidden="true" customHeight="true" outlineLevel="0" collapsed="false">
      <c r="A52" s="405"/>
      <c r="B52" s="309"/>
      <c r="C52" s="309"/>
      <c r="D52" s="309"/>
      <c r="E52" s="309"/>
      <c r="F52" s="309"/>
      <c r="G52" s="406"/>
    </row>
    <row r="53" customFormat="false" ht="30" hidden="true" customHeight="true" outlineLevel="0" collapsed="false">
      <c r="A53" s="427" t="s">
        <v>129</v>
      </c>
      <c r="B53" s="427"/>
      <c r="C53" s="428"/>
      <c r="D53" s="428"/>
      <c r="E53" s="428"/>
      <c r="F53" s="428"/>
      <c r="G53" s="428"/>
    </row>
    <row r="54" customFormat="false" ht="15" hidden="true" customHeight="true" outlineLevel="0" collapsed="false">
      <c r="A54" s="402"/>
      <c r="B54" s="423"/>
      <c r="C54" s="423"/>
      <c r="D54" s="423"/>
      <c r="E54" s="423"/>
      <c r="F54" s="423"/>
      <c r="G54" s="404"/>
    </row>
    <row r="55" customFormat="false" ht="39.75" hidden="true" customHeight="true" outlineLevel="0" collapsed="false">
      <c r="A55" s="424"/>
      <c r="B55" s="425"/>
      <c r="C55" s="425"/>
      <c r="D55" s="425"/>
      <c r="E55" s="425"/>
      <c r="F55" s="425"/>
      <c r="G55" s="426"/>
    </row>
    <row r="56" customFormat="false" ht="39.75" hidden="true" customHeight="true" outlineLevel="0" collapsed="false">
      <c r="A56" s="424"/>
      <c r="B56" s="425"/>
      <c r="C56" s="425"/>
      <c r="D56" s="425"/>
      <c r="E56" s="425"/>
      <c r="F56" s="425"/>
      <c r="G56" s="426"/>
    </row>
    <row r="57" customFormat="false" ht="39.75" hidden="true" customHeight="true" outlineLevel="0" collapsed="false">
      <c r="A57" s="424"/>
      <c r="B57" s="425"/>
      <c r="C57" s="425"/>
      <c r="D57" s="425"/>
      <c r="E57" s="425"/>
      <c r="F57" s="425"/>
      <c r="G57" s="426"/>
    </row>
    <row r="58" customFormat="false" ht="39.75" hidden="true" customHeight="true" outlineLevel="0" collapsed="false">
      <c r="A58" s="424"/>
      <c r="B58" s="425"/>
      <c r="C58" s="425"/>
      <c r="D58" s="425"/>
      <c r="E58" s="425"/>
      <c r="F58" s="425"/>
      <c r="G58" s="426"/>
    </row>
    <row r="59" customFormat="false" ht="39.75" hidden="true" customHeight="true" outlineLevel="0" collapsed="false">
      <c r="A59" s="424"/>
      <c r="B59" s="425"/>
      <c r="C59" s="425"/>
      <c r="D59" s="425"/>
      <c r="E59" s="425"/>
      <c r="F59" s="425"/>
      <c r="G59" s="426"/>
    </row>
    <row r="60" customFormat="false" ht="39.75" hidden="true" customHeight="true" outlineLevel="0" collapsed="false">
      <c r="A60" s="424"/>
      <c r="B60" s="425"/>
      <c r="C60" s="425"/>
      <c r="D60" s="425"/>
      <c r="E60" s="425"/>
      <c r="F60" s="425"/>
      <c r="G60" s="426"/>
    </row>
    <row r="61" customFormat="false" ht="39.75" hidden="true" customHeight="true" outlineLevel="0" collapsed="false">
      <c r="A61" s="424"/>
      <c r="B61" s="425"/>
      <c r="C61" s="425"/>
      <c r="D61" s="425"/>
      <c r="E61" s="425"/>
      <c r="F61" s="425"/>
      <c r="G61" s="426"/>
    </row>
    <row r="62" customFormat="false" ht="15" hidden="true" customHeight="true" outlineLevel="0" collapsed="false">
      <c r="A62" s="405"/>
      <c r="B62" s="309"/>
      <c r="C62" s="309"/>
      <c r="D62" s="309"/>
      <c r="E62" s="309"/>
      <c r="F62" s="309"/>
      <c r="G62" s="406"/>
    </row>
    <row r="63" customFormat="false" ht="30" hidden="true" customHeight="true" outlineLevel="0" collapsed="false">
      <c r="A63" s="427" t="s">
        <v>129</v>
      </c>
      <c r="B63" s="427"/>
      <c r="C63" s="428"/>
      <c r="D63" s="428"/>
      <c r="E63" s="428"/>
      <c r="F63" s="428"/>
      <c r="G63" s="428"/>
    </row>
    <row r="64" customFormat="false" ht="15" hidden="true" customHeight="true" outlineLevel="0" collapsed="false">
      <c r="A64" s="402"/>
      <c r="B64" s="423"/>
      <c r="C64" s="423"/>
      <c r="D64" s="423"/>
      <c r="E64" s="423"/>
      <c r="F64" s="423"/>
      <c r="G64" s="404"/>
    </row>
    <row r="65" customFormat="false" ht="39.75" hidden="true" customHeight="true" outlineLevel="0" collapsed="false">
      <c r="A65" s="424"/>
      <c r="B65" s="425"/>
      <c r="C65" s="425"/>
      <c r="D65" s="425"/>
      <c r="E65" s="425"/>
      <c r="F65" s="425"/>
      <c r="G65" s="426"/>
    </row>
    <row r="66" customFormat="false" ht="39.75" hidden="true" customHeight="true" outlineLevel="0" collapsed="false">
      <c r="A66" s="424"/>
      <c r="B66" s="425"/>
      <c r="C66" s="425"/>
      <c r="D66" s="425"/>
      <c r="E66" s="425"/>
      <c r="F66" s="425"/>
      <c r="G66" s="426"/>
    </row>
    <row r="67" customFormat="false" ht="39.75" hidden="true" customHeight="true" outlineLevel="0" collapsed="false">
      <c r="A67" s="424"/>
      <c r="B67" s="425"/>
      <c r="C67" s="425"/>
      <c r="D67" s="425"/>
      <c r="E67" s="425"/>
      <c r="F67" s="425"/>
      <c r="G67" s="426"/>
    </row>
    <row r="68" customFormat="false" ht="39.75" hidden="true" customHeight="true" outlineLevel="0" collapsed="false">
      <c r="A68" s="424"/>
      <c r="B68" s="425"/>
      <c r="C68" s="425"/>
      <c r="D68" s="425"/>
      <c r="E68" s="425"/>
      <c r="F68" s="425"/>
      <c r="G68" s="426"/>
    </row>
    <row r="69" customFormat="false" ht="39.75" hidden="true" customHeight="true" outlineLevel="0" collapsed="false">
      <c r="A69" s="424"/>
      <c r="B69" s="425"/>
      <c r="C69" s="425"/>
      <c r="D69" s="425"/>
      <c r="E69" s="425"/>
      <c r="F69" s="425"/>
      <c r="G69" s="426"/>
    </row>
    <row r="70" customFormat="false" ht="39.75" hidden="true" customHeight="true" outlineLevel="0" collapsed="false">
      <c r="A70" s="424"/>
      <c r="B70" s="425"/>
      <c r="C70" s="425"/>
      <c r="D70" s="425"/>
      <c r="E70" s="425"/>
      <c r="F70" s="425"/>
      <c r="G70" s="426"/>
    </row>
    <row r="71" customFormat="false" ht="39.75" hidden="true" customHeight="true" outlineLevel="0" collapsed="false">
      <c r="A71" s="424"/>
      <c r="B71" s="425"/>
      <c r="C71" s="425"/>
      <c r="D71" s="425"/>
      <c r="E71" s="425"/>
      <c r="F71" s="425"/>
      <c r="G71" s="426"/>
    </row>
    <row r="72" customFormat="false" ht="15" hidden="true" customHeight="true" outlineLevel="0" collapsed="false">
      <c r="A72" s="405"/>
      <c r="B72" s="309"/>
      <c r="C72" s="309"/>
      <c r="D72" s="309"/>
      <c r="E72" s="309"/>
      <c r="F72" s="309"/>
      <c r="G72" s="406"/>
    </row>
    <row r="73" customFormat="false" ht="30" hidden="true" customHeight="true" outlineLevel="0" collapsed="false">
      <c r="A73" s="427" t="s">
        <v>129</v>
      </c>
      <c r="B73" s="427"/>
      <c r="C73" s="428"/>
      <c r="D73" s="428"/>
      <c r="E73" s="428"/>
      <c r="F73" s="428"/>
      <c r="G73" s="428"/>
    </row>
    <row r="74" customFormat="false" ht="15" hidden="true" customHeight="true" outlineLevel="0" collapsed="false">
      <c r="A74" s="402"/>
      <c r="B74" s="423"/>
      <c r="C74" s="423"/>
      <c r="D74" s="423"/>
      <c r="E74" s="423"/>
      <c r="F74" s="423"/>
      <c r="G74" s="404"/>
    </row>
    <row r="75" customFormat="false" ht="39.75" hidden="true" customHeight="true" outlineLevel="0" collapsed="false">
      <c r="A75" s="424"/>
      <c r="B75" s="425"/>
      <c r="C75" s="425"/>
      <c r="D75" s="425"/>
      <c r="E75" s="425"/>
      <c r="F75" s="425"/>
      <c r="G75" s="426"/>
    </row>
    <row r="76" customFormat="false" ht="39.75" hidden="true" customHeight="true" outlineLevel="0" collapsed="false">
      <c r="A76" s="424"/>
      <c r="B76" s="425"/>
      <c r="C76" s="425"/>
      <c r="D76" s="425"/>
      <c r="E76" s="425"/>
      <c r="F76" s="425"/>
      <c r="G76" s="426"/>
    </row>
    <row r="77" customFormat="false" ht="39.75" hidden="true" customHeight="true" outlineLevel="0" collapsed="false">
      <c r="A77" s="424"/>
      <c r="B77" s="425"/>
      <c r="C77" s="425"/>
      <c r="D77" s="425"/>
      <c r="E77" s="425"/>
      <c r="F77" s="425"/>
      <c r="G77" s="426"/>
    </row>
    <row r="78" customFormat="false" ht="39.75" hidden="true" customHeight="true" outlineLevel="0" collapsed="false">
      <c r="A78" s="424"/>
      <c r="B78" s="425"/>
      <c r="C78" s="425"/>
      <c r="D78" s="425"/>
      <c r="E78" s="425"/>
      <c r="F78" s="425"/>
      <c r="G78" s="426"/>
    </row>
    <row r="79" customFormat="false" ht="39.75" hidden="true" customHeight="true" outlineLevel="0" collapsed="false">
      <c r="A79" s="424"/>
      <c r="B79" s="425"/>
      <c r="C79" s="425"/>
      <c r="D79" s="425"/>
      <c r="E79" s="425"/>
      <c r="F79" s="425"/>
      <c r="G79" s="426"/>
    </row>
    <row r="80" customFormat="false" ht="39.75" hidden="true" customHeight="true" outlineLevel="0" collapsed="false">
      <c r="A80" s="424"/>
      <c r="B80" s="425"/>
      <c r="C80" s="425"/>
      <c r="D80" s="425"/>
      <c r="E80" s="425"/>
      <c r="F80" s="425"/>
      <c r="G80" s="426"/>
    </row>
    <row r="81" customFormat="false" ht="39.75" hidden="true" customHeight="true" outlineLevel="0" collapsed="false">
      <c r="A81" s="424"/>
      <c r="B81" s="425"/>
      <c r="C81" s="425"/>
      <c r="D81" s="425"/>
      <c r="E81" s="425"/>
      <c r="F81" s="425"/>
      <c r="G81" s="426"/>
    </row>
    <row r="82" customFormat="false" ht="15" hidden="true" customHeight="true" outlineLevel="0" collapsed="false">
      <c r="A82" s="405"/>
      <c r="B82" s="309"/>
      <c r="C82" s="309"/>
      <c r="D82" s="309"/>
      <c r="E82" s="309"/>
      <c r="F82" s="309"/>
      <c r="G82" s="406"/>
    </row>
    <row r="83" customFormat="false" ht="30" hidden="true" customHeight="true" outlineLevel="0" collapsed="false">
      <c r="A83" s="427" t="s">
        <v>129</v>
      </c>
      <c r="B83" s="427"/>
      <c r="C83" s="428"/>
      <c r="D83" s="428"/>
      <c r="E83" s="428"/>
      <c r="F83" s="428"/>
      <c r="G83" s="428"/>
    </row>
    <row r="84" customFormat="false" ht="15" hidden="true" customHeight="true" outlineLevel="0" collapsed="false">
      <c r="A84" s="402"/>
      <c r="B84" s="423"/>
      <c r="C84" s="423"/>
      <c r="D84" s="423"/>
      <c r="E84" s="423"/>
      <c r="F84" s="423"/>
      <c r="G84" s="404"/>
    </row>
    <row r="85" customFormat="false" ht="39.75" hidden="true" customHeight="true" outlineLevel="0" collapsed="false">
      <c r="A85" s="424"/>
      <c r="B85" s="425"/>
      <c r="C85" s="425"/>
      <c r="D85" s="425"/>
      <c r="E85" s="425"/>
      <c r="F85" s="425"/>
      <c r="G85" s="426"/>
    </row>
    <row r="86" customFormat="false" ht="39.75" hidden="true" customHeight="true" outlineLevel="0" collapsed="false">
      <c r="A86" s="424"/>
      <c r="B86" s="425"/>
      <c r="C86" s="425"/>
      <c r="D86" s="425"/>
      <c r="E86" s="425"/>
      <c r="F86" s="425"/>
      <c r="G86" s="426"/>
    </row>
    <row r="87" customFormat="false" ht="39.75" hidden="true" customHeight="true" outlineLevel="0" collapsed="false">
      <c r="A87" s="424"/>
      <c r="B87" s="425"/>
      <c r="C87" s="425"/>
      <c r="D87" s="425"/>
      <c r="E87" s="425"/>
      <c r="F87" s="425"/>
      <c r="G87" s="426"/>
    </row>
    <row r="88" customFormat="false" ht="39.75" hidden="true" customHeight="true" outlineLevel="0" collapsed="false">
      <c r="A88" s="424"/>
      <c r="B88" s="425"/>
      <c r="C88" s="425"/>
      <c r="D88" s="425"/>
      <c r="E88" s="425"/>
      <c r="F88" s="425"/>
      <c r="G88" s="426"/>
    </row>
    <row r="89" customFormat="false" ht="39.75" hidden="true" customHeight="true" outlineLevel="0" collapsed="false">
      <c r="A89" s="424"/>
      <c r="B89" s="425"/>
      <c r="C89" s="425"/>
      <c r="D89" s="425"/>
      <c r="E89" s="425"/>
      <c r="F89" s="425"/>
      <c r="G89" s="426"/>
    </row>
    <row r="90" customFormat="false" ht="39.75" hidden="true" customHeight="true" outlineLevel="0" collapsed="false">
      <c r="A90" s="424"/>
      <c r="B90" s="425"/>
      <c r="C90" s="425"/>
      <c r="D90" s="425"/>
      <c r="E90" s="425"/>
      <c r="F90" s="425"/>
      <c r="G90" s="426"/>
    </row>
    <row r="91" customFormat="false" ht="39.75" hidden="true" customHeight="true" outlineLevel="0" collapsed="false">
      <c r="A91" s="424"/>
      <c r="B91" s="425"/>
      <c r="C91" s="425"/>
      <c r="D91" s="425"/>
      <c r="E91" s="425"/>
      <c r="F91" s="425"/>
      <c r="G91" s="426"/>
    </row>
    <row r="92" customFormat="false" ht="15" hidden="true" customHeight="true" outlineLevel="0" collapsed="false">
      <c r="A92" s="405"/>
      <c r="B92" s="309"/>
      <c r="C92" s="309"/>
      <c r="D92" s="309"/>
      <c r="E92" s="309"/>
      <c r="F92" s="309"/>
      <c r="G92" s="406"/>
    </row>
    <row r="93" customFormat="false" ht="30" hidden="true" customHeight="true" outlineLevel="0" collapsed="false">
      <c r="A93" s="427" t="s">
        <v>129</v>
      </c>
      <c r="B93" s="427"/>
      <c r="C93" s="428"/>
      <c r="D93" s="428"/>
      <c r="E93" s="428"/>
      <c r="F93" s="428"/>
      <c r="G93" s="428"/>
    </row>
    <row r="94" customFormat="false" ht="15" hidden="true" customHeight="true" outlineLevel="0" collapsed="false">
      <c r="A94" s="402"/>
      <c r="B94" s="423"/>
      <c r="C94" s="423"/>
      <c r="D94" s="423"/>
      <c r="E94" s="423"/>
      <c r="F94" s="423"/>
      <c r="G94" s="404"/>
    </row>
    <row r="95" customFormat="false" ht="39.75" hidden="true" customHeight="true" outlineLevel="0" collapsed="false">
      <c r="A95" s="424"/>
      <c r="B95" s="425"/>
      <c r="C95" s="425"/>
      <c r="D95" s="425"/>
      <c r="E95" s="425"/>
      <c r="F95" s="425"/>
      <c r="G95" s="426"/>
    </row>
    <row r="96" customFormat="false" ht="39.75" hidden="true" customHeight="true" outlineLevel="0" collapsed="false">
      <c r="A96" s="424"/>
      <c r="B96" s="425"/>
      <c r="C96" s="425"/>
      <c r="D96" s="425"/>
      <c r="E96" s="425"/>
      <c r="F96" s="425"/>
      <c r="G96" s="426"/>
    </row>
    <row r="97" customFormat="false" ht="39.75" hidden="true" customHeight="true" outlineLevel="0" collapsed="false">
      <c r="A97" s="424"/>
      <c r="B97" s="425"/>
      <c r="C97" s="425"/>
      <c r="D97" s="425"/>
      <c r="E97" s="425"/>
      <c r="F97" s="425"/>
      <c r="G97" s="426"/>
    </row>
    <row r="98" customFormat="false" ht="39.75" hidden="true" customHeight="true" outlineLevel="0" collapsed="false">
      <c r="A98" s="424"/>
      <c r="B98" s="425"/>
      <c r="C98" s="425"/>
      <c r="D98" s="425"/>
      <c r="E98" s="425"/>
      <c r="F98" s="425"/>
      <c r="G98" s="426"/>
    </row>
    <row r="99" customFormat="false" ht="39.75" hidden="true" customHeight="true" outlineLevel="0" collapsed="false">
      <c r="A99" s="424"/>
      <c r="B99" s="425"/>
      <c r="C99" s="425"/>
      <c r="D99" s="425"/>
      <c r="E99" s="425"/>
      <c r="F99" s="425"/>
      <c r="G99" s="426"/>
    </row>
    <row r="100" customFormat="false" ht="39.75" hidden="true" customHeight="true" outlineLevel="0" collapsed="false">
      <c r="A100" s="424"/>
      <c r="B100" s="425"/>
      <c r="C100" s="425"/>
      <c r="D100" s="425"/>
      <c r="E100" s="425"/>
      <c r="F100" s="425"/>
      <c r="G100" s="426"/>
    </row>
    <row r="101" customFormat="false" ht="39.75" hidden="true" customHeight="true" outlineLevel="0" collapsed="false">
      <c r="A101" s="424"/>
      <c r="B101" s="425"/>
      <c r="C101" s="425"/>
      <c r="D101" s="425"/>
      <c r="E101" s="425"/>
      <c r="F101" s="425"/>
      <c r="G101" s="426"/>
    </row>
    <row r="102" customFormat="false" ht="15" hidden="true" customHeight="true" outlineLevel="0" collapsed="false">
      <c r="A102" s="405"/>
      <c r="B102" s="309"/>
      <c r="C102" s="309"/>
      <c r="D102" s="309"/>
      <c r="E102" s="309"/>
      <c r="F102" s="309"/>
      <c r="G102" s="406"/>
    </row>
    <row r="103" customFormat="false" ht="30" hidden="true" customHeight="true" outlineLevel="0" collapsed="false">
      <c r="A103" s="427" t="s">
        <v>129</v>
      </c>
      <c r="B103" s="427"/>
      <c r="C103" s="428"/>
      <c r="D103" s="428"/>
      <c r="E103" s="428"/>
      <c r="F103" s="428"/>
      <c r="G103" s="428"/>
    </row>
    <row r="104" customFormat="false" ht="15" hidden="true" customHeight="true" outlineLevel="0" collapsed="false">
      <c r="A104" s="402"/>
      <c r="B104" s="423"/>
      <c r="C104" s="423"/>
      <c r="D104" s="423"/>
      <c r="E104" s="423"/>
      <c r="F104" s="423"/>
      <c r="G104" s="404"/>
    </row>
    <row r="105" customFormat="false" ht="39.75" hidden="true" customHeight="true" outlineLevel="0" collapsed="false">
      <c r="A105" s="424"/>
      <c r="B105" s="425"/>
      <c r="C105" s="425"/>
      <c r="D105" s="425"/>
      <c r="E105" s="425"/>
      <c r="F105" s="425"/>
      <c r="G105" s="426"/>
    </row>
    <row r="106" customFormat="false" ht="39.75" hidden="true" customHeight="true" outlineLevel="0" collapsed="false">
      <c r="A106" s="424"/>
      <c r="B106" s="425"/>
      <c r="C106" s="425"/>
      <c r="D106" s="425"/>
      <c r="E106" s="425"/>
      <c r="F106" s="425"/>
      <c r="G106" s="426"/>
    </row>
    <row r="107" customFormat="false" ht="39.75" hidden="true" customHeight="true" outlineLevel="0" collapsed="false">
      <c r="A107" s="424"/>
      <c r="B107" s="425"/>
      <c r="C107" s="425"/>
      <c r="D107" s="425"/>
      <c r="E107" s="425"/>
      <c r="F107" s="425"/>
      <c r="G107" s="426"/>
    </row>
    <row r="108" customFormat="false" ht="39.75" hidden="true" customHeight="true" outlineLevel="0" collapsed="false">
      <c r="A108" s="424"/>
      <c r="B108" s="425"/>
      <c r="C108" s="425"/>
      <c r="D108" s="425"/>
      <c r="E108" s="425"/>
      <c r="F108" s="425"/>
      <c r="G108" s="426"/>
    </row>
    <row r="109" customFormat="false" ht="39.75" hidden="true" customHeight="true" outlineLevel="0" collapsed="false">
      <c r="A109" s="424"/>
      <c r="B109" s="425"/>
      <c r="C109" s="425"/>
      <c r="D109" s="425"/>
      <c r="E109" s="425"/>
      <c r="F109" s="425"/>
      <c r="G109" s="426"/>
    </row>
    <row r="110" customFormat="false" ht="39.75" hidden="true" customHeight="true" outlineLevel="0" collapsed="false">
      <c r="A110" s="424"/>
      <c r="B110" s="425"/>
      <c r="C110" s="425"/>
      <c r="D110" s="425"/>
      <c r="E110" s="425"/>
      <c r="F110" s="425"/>
      <c r="G110" s="426"/>
    </row>
    <row r="111" customFormat="false" ht="39.75" hidden="true" customHeight="true" outlineLevel="0" collapsed="false">
      <c r="A111" s="424"/>
      <c r="B111" s="425"/>
      <c r="C111" s="425"/>
      <c r="D111" s="425"/>
      <c r="E111" s="425"/>
      <c r="F111" s="425"/>
      <c r="G111" s="426"/>
    </row>
    <row r="112" customFormat="false" ht="15" hidden="true" customHeight="true" outlineLevel="0" collapsed="false">
      <c r="A112" s="405"/>
      <c r="B112" s="309"/>
      <c r="C112" s="309"/>
      <c r="D112" s="309"/>
      <c r="E112" s="309"/>
      <c r="F112" s="309"/>
      <c r="G112" s="406"/>
    </row>
    <row r="113" customFormat="false" ht="30" hidden="true" customHeight="true" outlineLevel="0" collapsed="false">
      <c r="A113" s="427" t="s">
        <v>129</v>
      </c>
      <c r="B113" s="427"/>
      <c r="C113" s="428"/>
      <c r="D113" s="428"/>
      <c r="E113" s="428"/>
      <c r="F113" s="428"/>
      <c r="G113" s="428"/>
    </row>
    <row r="114" customFormat="false" ht="15" hidden="true" customHeight="true" outlineLevel="0" collapsed="false">
      <c r="A114" s="402"/>
      <c r="B114" s="423"/>
      <c r="C114" s="423"/>
      <c r="D114" s="423"/>
      <c r="E114" s="423"/>
      <c r="F114" s="423"/>
      <c r="G114" s="404"/>
    </row>
    <row r="115" customFormat="false" ht="39.75" hidden="true" customHeight="true" outlineLevel="0" collapsed="false">
      <c r="A115" s="424"/>
      <c r="B115" s="425"/>
      <c r="C115" s="425"/>
      <c r="D115" s="425"/>
      <c r="E115" s="425"/>
      <c r="F115" s="425"/>
      <c r="G115" s="426"/>
    </row>
    <row r="116" customFormat="false" ht="39.75" hidden="true" customHeight="true" outlineLevel="0" collapsed="false">
      <c r="A116" s="424"/>
      <c r="B116" s="425"/>
      <c r="C116" s="425"/>
      <c r="D116" s="425"/>
      <c r="E116" s="425"/>
      <c r="F116" s="425"/>
      <c r="G116" s="426"/>
    </row>
    <row r="117" customFormat="false" ht="39.75" hidden="true" customHeight="true" outlineLevel="0" collapsed="false">
      <c r="A117" s="424"/>
      <c r="B117" s="425"/>
      <c r="C117" s="425"/>
      <c r="D117" s="425"/>
      <c r="E117" s="425"/>
      <c r="F117" s="425"/>
      <c r="G117" s="426"/>
    </row>
    <row r="118" customFormat="false" ht="39.75" hidden="true" customHeight="true" outlineLevel="0" collapsed="false">
      <c r="A118" s="424"/>
      <c r="B118" s="425"/>
      <c r="C118" s="425"/>
      <c r="D118" s="425"/>
      <c r="E118" s="425"/>
      <c r="F118" s="425"/>
      <c r="G118" s="426"/>
    </row>
    <row r="119" customFormat="false" ht="39.75" hidden="true" customHeight="true" outlineLevel="0" collapsed="false">
      <c r="A119" s="424"/>
      <c r="B119" s="425"/>
      <c r="C119" s="425"/>
      <c r="D119" s="425"/>
      <c r="E119" s="425"/>
      <c r="F119" s="425"/>
      <c r="G119" s="426"/>
    </row>
    <row r="120" customFormat="false" ht="39.75" hidden="true" customHeight="true" outlineLevel="0" collapsed="false">
      <c r="A120" s="424"/>
      <c r="B120" s="425"/>
      <c r="C120" s="425"/>
      <c r="D120" s="425"/>
      <c r="E120" s="425"/>
      <c r="F120" s="425"/>
      <c r="G120" s="426"/>
    </row>
    <row r="121" customFormat="false" ht="39.75" hidden="true" customHeight="true" outlineLevel="0" collapsed="false">
      <c r="A121" s="424"/>
      <c r="B121" s="425"/>
      <c r="C121" s="425"/>
      <c r="D121" s="425"/>
      <c r="E121" s="425"/>
      <c r="F121" s="425"/>
      <c r="G121" s="426"/>
    </row>
    <row r="122" customFormat="false" ht="15" hidden="true" customHeight="true" outlineLevel="0" collapsed="false">
      <c r="A122" s="405"/>
      <c r="B122" s="309"/>
      <c r="C122" s="309"/>
      <c r="D122" s="309"/>
      <c r="E122" s="309"/>
      <c r="F122" s="309"/>
      <c r="G122" s="406"/>
    </row>
    <row r="123" customFormat="false" ht="30" hidden="true" customHeight="true" outlineLevel="0" collapsed="false">
      <c r="A123" s="427" t="s">
        <v>129</v>
      </c>
      <c r="B123" s="427"/>
      <c r="C123" s="428"/>
      <c r="D123" s="428"/>
      <c r="E123" s="428"/>
      <c r="F123" s="428"/>
      <c r="G123" s="428"/>
    </row>
    <row r="124" customFormat="false" ht="15" hidden="true" customHeight="true" outlineLevel="0" collapsed="false">
      <c r="A124" s="402"/>
      <c r="B124" s="423"/>
      <c r="C124" s="423"/>
      <c r="D124" s="423"/>
      <c r="E124" s="423"/>
      <c r="F124" s="423"/>
      <c r="G124" s="404"/>
    </row>
    <row r="125" customFormat="false" ht="39.75" hidden="true" customHeight="true" outlineLevel="0" collapsed="false">
      <c r="A125" s="424"/>
      <c r="B125" s="425"/>
      <c r="C125" s="425"/>
      <c r="D125" s="425"/>
      <c r="E125" s="425"/>
      <c r="F125" s="425"/>
      <c r="G125" s="426"/>
    </row>
    <row r="126" customFormat="false" ht="39.75" hidden="true" customHeight="true" outlineLevel="0" collapsed="false">
      <c r="A126" s="424"/>
      <c r="B126" s="425"/>
      <c r="C126" s="425"/>
      <c r="D126" s="425"/>
      <c r="E126" s="425"/>
      <c r="F126" s="425"/>
      <c r="G126" s="426"/>
    </row>
    <row r="127" customFormat="false" ht="39.75" hidden="true" customHeight="true" outlineLevel="0" collapsed="false">
      <c r="A127" s="424"/>
      <c r="B127" s="425"/>
      <c r="C127" s="425"/>
      <c r="D127" s="425"/>
      <c r="E127" s="425"/>
      <c r="F127" s="425"/>
      <c r="G127" s="426"/>
    </row>
    <row r="128" customFormat="false" ht="39.75" hidden="true" customHeight="true" outlineLevel="0" collapsed="false">
      <c r="A128" s="424"/>
      <c r="B128" s="425"/>
      <c r="C128" s="425"/>
      <c r="D128" s="425"/>
      <c r="E128" s="425"/>
      <c r="F128" s="425"/>
      <c r="G128" s="426"/>
    </row>
    <row r="129" customFormat="false" ht="39.75" hidden="true" customHeight="true" outlineLevel="0" collapsed="false">
      <c r="A129" s="424"/>
      <c r="B129" s="425"/>
      <c r="C129" s="425"/>
      <c r="D129" s="425"/>
      <c r="E129" s="425"/>
      <c r="F129" s="425"/>
      <c r="G129" s="426"/>
    </row>
    <row r="130" customFormat="false" ht="39.75" hidden="true" customHeight="true" outlineLevel="0" collapsed="false">
      <c r="A130" s="424"/>
      <c r="B130" s="425"/>
      <c r="C130" s="425"/>
      <c r="D130" s="425"/>
      <c r="E130" s="425"/>
      <c r="F130" s="425"/>
      <c r="G130" s="426"/>
    </row>
    <row r="131" customFormat="false" ht="39.75" hidden="true" customHeight="true" outlineLevel="0" collapsed="false">
      <c r="A131" s="424"/>
      <c r="B131" s="425"/>
      <c r="C131" s="425"/>
      <c r="D131" s="425"/>
      <c r="E131" s="425"/>
      <c r="F131" s="425"/>
      <c r="G131" s="426"/>
    </row>
    <row r="132" customFormat="false" ht="15" hidden="true" customHeight="true" outlineLevel="0" collapsed="false">
      <c r="A132" s="405"/>
      <c r="B132" s="309"/>
      <c r="C132" s="309"/>
      <c r="D132" s="309"/>
      <c r="E132" s="309"/>
      <c r="F132" s="309"/>
      <c r="G132" s="406"/>
    </row>
    <row r="133" customFormat="false" ht="30" hidden="true" customHeight="true" outlineLevel="0" collapsed="false">
      <c r="A133" s="427" t="s">
        <v>129</v>
      </c>
      <c r="B133" s="427"/>
      <c r="C133" s="429"/>
      <c r="D133" s="429"/>
      <c r="E133" s="429"/>
      <c r="F133" s="429"/>
      <c r="G133" s="429"/>
    </row>
    <row r="134" customFormat="false" ht="15" hidden="true" customHeight="true" outlineLevel="0" collapsed="false">
      <c r="A134" s="402"/>
      <c r="B134" s="423"/>
      <c r="C134" s="423"/>
      <c r="D134" s="423"/>
      <c r="E134" s="423"/>
      <c r="F134" s="423"/>
      <c r="G134" s="404"/>
    </row>
    <row r="135" customFormat="false" ht="39.75" hidden="true" customHeight="true" outlineLevel="0" collapsed="false">
      <c r="A135" s="424"/>
      <c r="B135" s="425"/>
      <c r="C135" s="425"/>
      <c r="D135" s="425"/>
      <c r="E135" s="425"/>
      <c r="F135" s="425"/>
      <c r="G135" s="426"/>
    </row>
    <row r="136" customFormat="false" ht="39.75" hidden="true" customHeight="true" outlineLevel="0" collapsed="false">
      <c r="A136" s="424"/>
      <c r="B136" s="425"/>
      <c r="C136" s="425"/>
      <c r="D136" s="425"/>
      <c r="E136" s="425"/>
      <c r="F136" s="425"/>
      <c r="G136" s="426"/>
    </row>
    <row r="137" customFormat="false" ht="39.75" hidden="true" customHeight="true" outlineLevel="0" collapsed="false">
      <c r="A137" s="424"/>
      <c r="B137" s="425"/>
      <c r="C137" s="425"/>
      <c r="D137" s="425"/>
      <c r="E137" s="425"/>
      <c r="F137" s="425"/>
      <c r="G137" s="426"/>
    </row>
    <row r="138" customFormat="false" ht="39.75" hidden="true" customHeight="true" outlineLevel="0" collapsed="false">
      <c r="A138" s="424"/>
      <c r="B138" s="425"/>
      <c r="C138" s="425"/>
      <c r="D138" s="425"/>
      <c r="E138" s="425"/>
      <c r="F138" s="425"/>
      <c r="G138" s="426"/>
    </row>
    <row r="139" customFormat="false" ht="39.75" hidden="true" customHeight="true" outlineLevel="0" collapsed="false">
      <c r="A139" s="424"/>
      <c r="B139" s="425"/>
      <c r="C139" s="425"/>
      <c r="D139" s="425"/>
      <c r="E139" s="425"/>
      <c r="F139" s="425"/>
      <c r="G139" s="426"/>
    </row>
    <row r="140" customFormat="false" ht="39.75" hidden="true" customHeight="true" outlineLevel="0" collapsed="false">
      <c r="A140" s="424"/>
      <c r="B140" s="425"/>
      <c r="C140" s="425"/>
      <c r="D140" s="425"/>
      <c r="E140" s="425"/>
      <c r="F140" s="425"/>
      <c r="G140" s="426"/>
    </row>
    <row r="141" customFormat="false" ht="39.75" hidden="true" customHeight="true" outlineLevel="0" collapsed="false">
      <c r="A141" s="424"/>
      <c r="B141" s="425"/>
      <c r="C141" s="425"/>
      <c r="D141" s="425"/>
      <c r="E141" s="425"/>
      <c r="F141" s="425"/>
      <c r="G141" s="426"/>
    </row>
    <row r="142" customFormat="false" ht="15" hidden="true" customHeight="true" outlineLevel="0" collapsed="false">
      <c r="A142" s="405"/>
      <c r="B142" s="309"/>
      <c r="C142" s="309"/>
      <c r="D142" s="309"/>
      <c r="E142" s="309"/>
      <c r="F142" s="309"/>
      <c r="G142" s="406"/>
    </row>
    <row r="143" customFormat="false" ht="30" hidden="true" customHeight="true" outlineLevel="0" collapsed="false">
      <c r="A143" s="427" t="s">
        <v>129</v>
      </c>
      <c r="B143" s="427"/>
      <c r="C143" s="429"/>
      <c r="D143" s="429"/>
      <c r="E143" s="429"/>
      <c r="F143" s="429"/>
      <c r="G143" s="429"/>
    </row>
    <row r="144" customFormat="false" ht="15" hidden="true" customHeight="true" outlineLevel="0" collapsed="false">
      <c r="A144" s="402"/>
      <c r="B144" s="423"/>
      <c r="C144" s="423"/>
      <c r="D144" s="423"/>
      <c r="E144" s="423"/>
      <c r="F144" s="423"/>
      <c r="G144" s="404"/>
    </row>
    <row r="145" customFormat="false" ht="39.75" hidden="true" customHeight="true" outlineLevel="0" collapsed="false">
      <c r="A145" s="424"/>
      <c r="B145" s="425"/>
      <c r="C145" s="425"/>
      <c r="D145" s="425"/>
      <c r="E145" s="425"/>
      <c r="F145" s="425"/>
      <c r="G145" s="426"/>
    </row>
    <row r="146" customFormat="false" ht="39.75" hidden="true" customHeight="true" outlineLevel="0" collapsed="false">
      <c r="A146" s="424"/>
      <c r="B146" s="425"/>
      <c r="C146" s="425"/>
      <c r="D146" s="425"/>
      <c r="E146" s="425"/>
      <c r="F146" s="425"/>
      <c r="G146" s="426"/>
    </row>
    <row r="147" customFormat="false" ht="39.75" hidden="true" customHeight="true" outlineLevel="0" collapsed="false">
      <c r="A147" s="424"/>
      <c r="B147" s="425"/>
      <c r="C147" s="425"/>
      <c r="D147" s="425"/>
      <c r="E147" s="425"/>
      <c r="F147" s="425"/>
      <c r="G147" s="426"/>
    </row>
    <row r="148" customFormat="false" ht="39.75" hidden="true" customHeight="true" outlineLevel="0" collapsed="false">
      <c r="A148" s="424"/>
      <c r="B148" s="425"/>
      <c r="C148" s="425"/>
      <c r="D148" s="425"/>
      <c r="E148" s="425"/>
      <c r="F148" s="425"/>
      <c r="G148" s="426"/>
    </row>
    <row r="149" customFormat="false" ht="39.75" hidden="true" customHeight="true" outlineLevel="0" collapsed="false">
      <c r="A149" s="424"/>
      <c r="B149" s="425"/>
      <c r="C149" s="425"/>
      <c r="D149" s="425"/>
      <c r="E149" s="425"/>
      <c r="F149" s="425"/>
      <c r="G149" s="426"/>
    </row>
    <row r="150" customFormat="false" ht="39.75" hidden="true" customHeight="true" outlineLevel="0" collapsed="false">
      <c r="A150" s="424"/>
      <c r="B150" s="425"/>
      <c r="C150" s="425"/>
      <c r="D150" s="425"/>
      <c r="E150" s="425"/>
      <c r="F150" s="425"/>
      <c r="G150" s="426"/>
    </row>
    <row r="151" customFormat="false" ht="39.75" hidden="true" customHeight="true" outlineLevel="0" collapsed="false">
      <c r="A151" s="424"/>
      <c r="B151" s="425"/>
      <c r="C151" s="425"/>
      <c r="D151" s="425"/>
      <c r="E151" s="425"/>
      <c r="F151" s="425"/>
      <c r="G151" s="426"/>
    </row>
    <row r="152" customFormat="false" ht="15" hidden="true" customHeight="true" outlineLevel="0" collapsed="false">
      <c r="A152" s="405"/>
      <c r="B152" s="309"/>
      <c r="C152" s="309"/>
      <c r="D152" s="309"/>
      <c r="E152" s="309"/>
      <c r="F152" s="309"/>
      <c r="G152" s="406"/>
    </row>
    <row r="153" customFormat="false" ht="30" hidden="true" customHeight="true" outlineLevel="0" collapsed="false">
      <c r="A153" s="427" t="s">
        <v>129</v>
      </c>
      <c r="B153" s="427"/>
      <c r="C153" s="429"/>
      <c r="D153" s="429"/>
      <c r="E153" s="429"/>
      <c r="F153" s="429"/>
      <c r="G153" s="429"/>
    </row>
    <row r="154" customFormat="false" ht="15" hidden="true" customHeight="true" outlineLevel="0" collapsed="false">
      <c r="A154" s="402"/>
      <c r="B154" s="423"/>
      <c r="C154" s="423"/>
      <c r="D154" s="423"/>
      <c r="E154" s="423"/>
      <c r="F154" s="423"/>
      <c r="G154" s="404"/>
    </row>
    <row r="155" customFormat="false" ht="39.75" hidden="true" customHeight="true" outlineLevel="0" collapsed="false">
      <c r="A155" s="424"/>
      <c r="B155" s="425"/>
      <c r="C155" s="425"/>
      <c r="D155" s="425"/>
      <c r="E155" s="425"/>
      <c r="F155" s="425"/>
      <c r="G155" s="426"/>
    </row>
    <row r="156" customFormat="false" ht="39.75" hidden="true" customHeight="true" outlineLevel="0" collapsed="false">
      <c r="A156" s="424"/>
      <c r="B156" s="425"/>
      <c r="C156" s="425"/>
      <c r="D156" s="425"/>
      <c r="E156" s="425"/>
      <c r="F156" s="425"/>
      <c r="G156" s="426"/>
    </row>
    <row r="157" customFormat="false" ht="39.75" hidden="true" customHeight="true" outlineLevel="0" collapsed="false">
      <c r="A157" s="424"/>
      <c r="B157" s="425"/>
      <c r="C157" s="425"/>
      <c r="D157" s="425"/>
      <c r="E157" s="425"/>
      <c r="F157" s="425"/>
      <c r="G157" s="426"/>
    </row>
    <row r="158" customFormat="false" ht="39.75" hidden="true" customHeight="true" outlineLevel="0" collapsed="false">
      <c r="A158" s="424"/>
      <c r="B158" s="425"/>
      <c r="C158" s="425"/>
      <c r="D158" s="425"/>
      <c r="E158" s="425"/>
      <c r="F158" s="425"/>
      <c r="G158" s="426"/>
    </row>
    <row r="159" customFormat="false" ht="39.75" hidden="true" customHeight="true" outlineLevel="0" collapsed="false">
      <c r="A159" s="424"/>
      <c r="B159" s="425"/>
      <c r="C159" s="425"/>
      <c r="D159" s="425"/>
      <c r="E159" s="425"/>
      <c r="F159" s="425"/>
      <c r="G159" s="426"/>
    </row>
    <row r="160" customFormat="false" ht="39.75" hidden="true" customHeight="true" outlineLevel="0" collapsed="false">
      <c r="A160" s="424"/>
      <c r="B160" s="425"/>
      <c r="C160" s="425"/>
      <c r="D160" s="425"/>
      <c r="E160" s="425"/>
      <c r="F160" s="425"/>
      <c r="G160" s="426"/>
    </row>
    <row r="161" customFormat="false" ht="39.75" hidden="true" customHeight="true" outlineLevel="0" collapsed="false">
      <c r="A161" s="424"/>
      <c r="B161" s="425"/>
      <c r="C161" s="425"/>
      <c r="D161" s="425"/>
      <c r="E161" s="425"/>
      <c r="F161" s="425"/>
      <c r="G161" s="426"/>
    </row>
    <row r="162" customFormat="false" ht="15" hidden="true" customHeight="true" outlineLevel="0" collapsed="false">
      <c r="A162" s="405"/>
      <c r="B162" s="309"/>
      <c r="C162" s="309"/>
      <c r="D162" s="309"/>
      <c r="E162" s="309"/>
      <c r="F162" s="309"/>
      <c r="G162" s="406"/>
    </row>
    <row r="163" customFormat="false" ht="30" hidden="true" customHeight="true" outlineLevel="0" collapsed="false">
      <c r="A163" s="427" t="s">
        <v>129</v>
      </c>
      <c r="B163" s="427"/>
      <c r="C163" s="429"/>
      <c r="D163" s="429"/>
      <c r="E163" s="429"/>
      <c r="F163" s="429"/>
      <c r="G163" s="429"/>
    </row>
    <row r="164" customFormat="false" ht="15" hidden="true" customHeight="true" outlineLevel="0" collapsed="false">
      <c r="A164" s="402"/>
      <c r="B164" s="423"/>
      <c r="C164" s="423"/>
      <c r="D164" s="423"/>
      <c r="E164" s="423"/>
      <c r="F164" s="423"/>
      <c r="G164" s="404"/>
    </row>
    <row r="165" customFormat="false" ht="39.75" hidden="true" customHeight="true" outlineLevel="0" collapsed="false">
      <c r="A165" s="424"/>
      <c r="B165" s="425"/>
      <c r="C165" s="425"/>
      <c r="D165" s="425"/>
      <c r="E165" s="425"/>
      <c r="F165" s="425"/>
      <c r="G165" s="426"/>
    </row>
    <row r="166" customFormat="false" ht="39.75" hidden="true" customHeight="true" outlineLevel="0" collapsed="false">
      <c r="A166" s="424"/>
      <c r="B166" s="425"/>
      <c r="C166" s="425"/>
      <c r="D166" s="425"/>
      <c r="E166" s="425"/>
      <c r="F166" s="425"/>
      <c r="G166" s="426"/>
    </row>
    <row r="167" customFormat="false" ht="39.75" hidden="true" customHeight="true" outlineLevel="0" collapsed="false">
      <c r="A167" s="424"/>
      <c r="B167" s="425"/>
      <c r="C167" s="425"/>
      <c r="D167" s="425"/>
      <c r="E167" s="425"/>
      <c r="F167" s="425"/>
      <c r="G167" s="426"/>
    </row>
    <row r="168" customFormat="false" ht="39.75" hidden="true" customHeight="true" outlineLevel="0" collapsed="false">
      <c r="A168" s="424"/>
      <c r="B168" s="425"/>
      <c r="C168" s="425"/>
      <c r="D168" s="425"/>
      <c r="E168" s="425"/>
      <c r="F168" s="425"/>
      <c r="G168" s="426"/>
    </row>
    <row r="169" customFormat="false" ht="39.75" hidden="true" customHeight="true" outlineLevel="0" collapsed="false">
      <c r="A169" s="424"/>
      <c r="B169" s="425"/>
      <c r="C169" s="425"/>
      <c r="D169" s="425"/>
      <c r="E169" s="425"/>
      <c r="F169" s="425"/>
      <c r="G169" s="426"/>
    </row>
    <row r="170" customFormat="false" ht="39.75" hidden="true" customHeight="true" outlineLevel="0" collapsed="false">
      <c r="A170" s="424"/>
      <c r="B170" s="425"/>
      <c r="C170" s="425"/>
      <c r="D170" s="425"/>
      <c r="E170" s="425"/>
      <c r="F170" s="425"/>
      <c r="G170" s="426"/>
    </row>
    <row r="171" customFormat="false" ht="39.75" hidden="true" customHeight="true" outlineLevel="0" collapsed="false">
      <c r="A171" s="424"/>
      <c r="B171" s="425"/>
      <c r="C171" s="425"/>
      <c r="D171" s="425"/>
      <c r="E171" s="425"/>
      <c r="F171" s="425"/>
      <c r="G171" s="426"/>
    </row>
    <row r="172" customFormat="false" ht="15" hidden="true" customHeight="true" outlineLevel="0" collapsed="false">
      <c r="A172" s="405"/>
      <c r="B172" s="309"/>
      <c r="C172" s="309"/>
      <c r="D172" s="309"/>
      <c r="E172" s="309"/>
      <c r="F172" s="309"/>
      <c r="G172" s="406"/>
    </row>
    <row r="173" customFormat="false" ht="30" hidden="true" customHeight="true" outlineLevel="0" collapsed="false">
      <c r="A173" s="427" t="s">
        <v>129</v>
      </c>
      <c r="B173" s="427"/>
      <c r="C173" s="429"/>
      <c r="D173" s="429"/>
      <c r="E173" s="429"/>
      <c r="F173" s="429"/>
      <c r="G173" s="429"/>
    </row>
    <row r="174" customFormat="false" ht="15" hidden="true" customHeight="true" outlineLevel="0" collapsed="false">
      <c r="A174" s="402"/>
      <c r="B174" s="423"/>
      <c r="C174" s="423"/>
      <c r="D174" s="423"/>
      <c r="E174" s="423"/>
      <c r="F174" s="423"/>
      <c r="G174" s="404"/>
    </row>
    <row r="175" customFormat="false" ht="39.75" hidden="true" customHeight="true" outlineLevel="0" collapsed="false">
      <c r="A175" s="424"/>
      <c r="B175" s="425"/>
      <c r="C175" s="425"/>
      <c r="D175" s="425"/>
      <c r="E175" s="425"/>
      <c r="F175" s="425"/>
      <c r="G175" s="426"/>
    </row>
    <row r="176" customFormat="false" ht="39.75" hidden="true" customHeight="true" outlineLevel="0" collapsed="false">
      <c r="A176" s="424"/>
      <c r="B176" s="425"/>
      <c r="C176" s="425"/>
      <c r="D176" s="425"/>
      <c r="E176" s="425"/>
      <c r="F176" s="425"/>
      <c r="G176" s="426"/>
    </row>
    <row r="177" customFormat="false" ht="39.75" hidden="true" customHeight="true" outlineLevel="0" collapsed="false">
      <c r="A177" s="424"/>
      <c r="B177" s="425"/>
      <c r="C177" s="425"/>
      <c r="D177" s="425"/>
      <c r="E177" s="425"/>
      <c r="F177" s="425"/>
      <c r="G177" s="426"/>
    </row>
    <row r="178" customFormat="false" ht="39.75" hidden="true" customHeight="true" outlineLevel="0" collapsed="false">
      <c r="A178" s="424"/>
      <c r="B178" s="425"/>
      <c r="C178" s="425"/>
      <c r="D178" s="425"/>
      <c r="E178" s="425"/>
      <c r="F178" s="425"/>
      <c r="G178" s="426"/>
    </row>
    <row r="179" customFormat="false" ht="39.75" hidden="true" customHeight="true" outlineLevel="0" collapsed="false">
      <c r="A179" s="424"/>
      <c r="B179" s="425"/>
      <c r="C179" s="425"/>
      <c r="D179" s="425"/>
      <c r="E179" s="425"/>
      <c r="F179" s="425"/>
      <c r="G179" s="426"/>
    </row>
    <row r="180" customFormat="false" ht="39.75" hidden="true" customHeight="true" outlineLevel="0" collapsed="false">
      <c r="A180" s="424"/>
      <c r="B180" s="425"/>
      <c r="C180" s="425"/>
      <c r="D180" s="425"/>
      <c r="E180" s="425"/>
      <c r="F180" s="425"/>
      <c r="G180" s="426"/>
    </row>
    <row r="181" customFormat="false" ht="39.75" hidden="true" customHeight="true" outlineLevel="0" collapsed="false">
      <c r="A181" s="424"/>
      <c r="B181" s="425"/>
      <c r="C181" s="425"/>
      <c r="D181" s="425"/>
      <c r="E181" s="425"/>
      <c r="F181" s="425"/>
      <c r="G181" s="426"/>
    </row>
    <row r="182" customFormat="false" ht="15" hidden="true" customHeight="true" outlineLevel="0" collapsed="false">
      <c r="A182" s="405"/>
      <c r="B182" s="309"/>
      <c r="C182" s="309"/>
      <c r="D182" s="309"/>
      <c r="E182" s="309"/>
      <c r="F182" s="309"/>
      <c r="G182" s="406"/>
    </row>
    <row r="183" customFormat="false" ht="30" hidden="true" customHeight="true" outlineLevel="0" collapsed="false">
      <c r="A183" s="427" t="s">
        <v>129</v>
      </c>
      <c r="B183" s="427"/>
      <c r="C183" s="429"/>
      <c r="D183" s="429"/>
      <c r="E183" s="429"/>
      <c r="F183" s="429"/>
      <c r="G183" s="429"/>
    </row>
    <row r="184" customFormat="false" ht="15" hidden="true" customHeight="true" outlineLevel="0" collapsed="false">
      <c r="A184" s="402"/>
      <c r="B184" s="423"/>
      <c r="C184" s="423"/>
      <c r="D184" s="423"/>
      <c r="E184" s="423"/>
      <c r="F184" s="423"/>
      <c r="G184" s="404"/>
    </row>
    <row r="185" customFormat="false" ht="39.75" hidden="true" customHeight="true" outlineLevel="0" collapsed="false">
      <c r="A185" s="424"/>
      <c r="B185" s="425"/>
      <c r="C185" s="425"/>
      <c r="D185" s="425"/>
      <c r="E185" s="425"/>
      <c r="F185" s="425"/>
      <c r="G185" s="426"/>
    </row>
    <row r="186" customFormat="false" ht="39.75" hidden="true" customHeight="true" outlineLevel="0" collapsed="false">
      <c r="A186" s="424"/>
      <c r="B186" s="425"/>
      <c r="C186" s="425"/>
      <c r="D186" s="425"/>
      <c r="E186" s="425"/>
      <c r="F186" s="425"/>
      <c r="G186" s="426"/>
    </row>
    <row r="187" customFormat="false" ht="39.75" hidden="true" customHeight="true" outlineLevel="0" collapsed="false">
      <c r="A187" s="424"/>
      <c r="B187" s="425"/>
      <c r="C187" s="425"/>
      <c r="D187" s="425"/>
      <c r="E187" s="425"/>
      <c r="F187" s="425"/>
      <c r="G187" s="426"/>
    </row>
    <row r="188" customFormat="false" ht="39.75" hidden="true" customHeight="true" outlineLevel="0" collapsed="false">
      <c r="A188" s="424"/>
      <c r="B188" s="425"/>
      <c r="C188" s="425"/>
      <c r="D188" s="425"/>
      <c r="E188" s="425"/>
      <c r="F188" s="425"/>
      <c r="G188" s="426"/>
    </row>
    <row r="189" customFormat="false" ht="39.75" hidden="true" customHeight="true" outlineLevel="0" collapsed="false">
      <c r="A189" s="424"/>
      <c r="B189" s="425"/>
      <c r="C189" s="425"/>
      <c r="D189" s="425"/>
      <c r="E189" s="425"/>
      <c r="F189" s="425"/>
      <c r="G189" s="426"/>
    </row>
    <row r="190" customFormat="false" ht="39.75" hidden="true" customHeight="true" outlineLevel="0" collapsed="false">
      <c r="A190" s="424"/>
      <c r="B190" s="425"/>
      <c r="C190" s="425"/>
      <c r="D190" s="425"/>
      <c r="E190" s="425"/>
      <c r="F190" s="425"/>
      <c r="G190" s="426"/>
    </row>
    <row r="191" customFormat="false" ht="39.75" hidden="true" customHeight="true" outlineLevel="0" collapsed="false">
      <c r="A191" s="424"/>
      <c r="B191" s="425"/>
      <c r="C191" s="425"/>
      <c r="D191" s="425"/>
      <c r="E191" s="425"/>
      <c r="F191" s="425"/>
      <c r="G191" s="426"/>
    </row>
    <row r="192" customFormat="false" ht="15" hidden="true" customHeight="true" outlineLevel="0" collapsed="false">
      <c r="A192" s="405"/>
      <c r="B192" s="309"/>
      <c r="C192" s="309"/>
      <c r="D192" s="309"/>
      <c r="E192" s="309"/>
      <c r="F192" s="309"/>
      <c r="G192" s="406"/>
    </row>
    <row r="193" customFormat="false" ht="30" hidden="true" customHeight="true" outlineLevel="0" collapsed="false">
      <c r="A193" s="427" t="s">
        <v>129</v>
      </c>
      <c r="B193" s="427"/>
      <c r="C193" s="429"/>
      <c r="D193" s="429"/>
      <c r="E193" s="429"/>
      <c r="F193" s="429"/>
      <c r="G193" s="429"/>
    </row>
    <row r="194" customFormat="false" ht="15" hidden="true" customHeight="true" outlineLevel="0" collapsed="false">
      <c r="A194" s="402"/>
      <c r="B194" s="423"/>
      <c r="C194" s="423"/>
      <c r="D194" s="423"/>
      <c r="E194" s="423"/>
      <c r="F194" s="423"/>
      <c r="G194" s="404"/>
    </row>
    <row r="195" customFormat="false" ht="39.75" hidden="true" customHeight="true" outlineLevel="0" collapsed="false">
      <c r="A195" s="424"/>
      <c r="B195" s="425"/>
      <c r="C195" s="425"/>
      <c r="D195" s="425"/>
      <c r="E195" s="425"/>
      <c r="F195" s="425"/>
      <c r="G195" s="426"/>
    </row>
    <row r="196" customFormat="false" ht="39.75" hidden="true" customHeight="true" outlineLevel="0" collapsed="false">
      <c r="A196" s="424"/>
      <c r="B196" s="425"/>
      <c r="C196" s="425"/>
      <c r="D196" s="425"/>
      <c r="E196" s="425"/>
      <c r="F196" s="425"/>
      <c r="G196" s="426"/>
    </row>
    <row r="197" customFormat="false" ht="39.75" hidden="true" customHeight="true" outlineLevel="0" collapsed="false">
      <c r="A197" s="424"/>
      <c r="B197" s="425"/>
      <c r="C197" s="425"/>
      <c r="D197" s="425"/>
      <c r="E197" s="425"/>
      <c r="F197" s="425"/>
      <c r="G197" s="426"/>
    </row>
    <row r="198" customFormat="false" ht="39.75" hidden="true" customHeight="true" outlineLevel="0" collapsed="false">
      <c r="A198" s="424"/>
      <c r="B198" s="425"/>
      <c r="C198" s="425"/>
      <c r="D198" s="425"/>
      <c r="E198" s="425"/>
      <c r="F198" s="425"/>
      <c r="G198" s="426"/>
    </row>
    <row r="199" customFormat="false" ht="39.75" hidden="true" customHeight="true" outlineLevel="0" collapsed="false">
      <c r="A199" s="424"/>
      <c r="B199" s="425"/>
      <c r="C199" s="425"/>
      <c r="D199" s="425"/>
      <c r="E199" s="425"/>
      <c r="F199" s="425"/>
      <c r="G199" s="426"/>
    </row>
    <row r="200" customFormat="false" ht="39.75" hidden="true" customHeight="true" outlineLevel="0" collapsed="false">
      <c r="A200" s="424"/>
      <c r="B200" s="425"/>
      <c r="C200" s="425"/>
      <c r="D200" s="425"/>
      <c r="E200" s="425"/>
      <c r="F200" s="425"/>
      <c r="G200" s="426"/>
    </row>
    <row r="201" customFormat="false" ht="39.75" hidden="true" customHeight="true" outlineLevel="0" collapsed="false">
      <c r="A201" s="424"/>
      <c r="B201" s="425"/>
      <c r="C201" s="425"/>
      <c r="D201" s="425"/>
      <c r="E201" s="425"/>
      <c r="F201" s="425"/>
      <c r="G201" s="426"/>
    </row>
    <row r="202" customFormat="false" ht="15" hidden="true" customHeight="true" outlineLevel="0" collapsed="false">
      <c r="A202" s="405"/>
      <c r="B202" s="309"/>
      <c r="C202" s="309"/>
      <c r="D202" s="309"/>
      <c r="E202" s="309"/>
      <c r="F202" s="309"/>
      <c r="G202" s="406"/>
    </row>
    <row r="203" customFormat="false" ht="30" hidden="true" customHeight="true" outlineLevel="0" collapsed="false">
      <c r="A203" s="427" t="s">
        <v>129</v>
      </c>
      <c r="B203" s="427"/>
      <c r="C203" s="429"/>
      <c r="D203" s="429"/>
      <c r="E203" s="429"/>
      <c r="F203" s="429"/>
      <c r="G203" s="429"/>
    </row>
    <row r="204" customFormat="false" ht="15" hidden="true" customHeight="true" outlineLevel="0" collapsed="false">
      <c r="A204" s="402"/>
      <c r="B204" s="423"/>
      <c r="C204" s="423"/>
      <c r="D204" s="423"/>
      <c r="E204" s="423"/>
      <c r="F204" s="423"/>
      <c r="G204" s="404"/>
    </row>
    <row r="205" customFormat="false" ht="39.75" hidden="true" customHeight="true" outlineLevel="0" collapsed="false">
      <c r="A205" s="424"/>
      <c r="B205" s="425"/>
      <c r="C205" s="425"/>
      <c r="D205" s="425"/>
      <c r="E205" s="425"/>
      <c r="F205" s="425"/>
      <c r="G205" s="426"/>
    </row>
    <row r="206" customFormat="false" ht="39.75" hidden="true" customHeight="true" outlineLevel="0" collapsed="false">
      <c r="A206" s="424"/>
      <c r="B206" s="425"/>
      <c r="C206" s="425"/>
      <c r="D206" s="425"/>
      <c r="E206" s="425"/>
      <c r="F206" s="425"/>
      <c r="G206" s="426"/>
    </row>
    <row r="207" customFormat="false" ht="39.75" hidden="true" customHeight="true" outlineLevel="0" collapsed="false">
      <c r="A207" s="424"/>
      <c r="B207" s="425"/>
      <c r="C207" s="425"/>
      <c r="D207" s="425"/>
      <c r="E207" s="425"/>
      <c r="F207" s="425"/>
      <c r="G207" s="426"/>
    </row>
    <row r="208" customFormat="false" ht="39.75" hidden="true" customHeight="true" outlineLevel="0" collapsed="false">
      <c r="A208" s="424"/>
      <c r="B208" s="425"/>
      <c r="C208" s="425"/>
      <c r="D208" s="425"/>
      <c r="E208" s="425"/>
      <c r="F208" s="425"/>
      <c r="G208" s="426"/>
    </row>
    <row r="209" customFormat="false" ht="39.75" hidden="true" customHeight="true" outlineLevel="0" collapsed="false">
      <c r="A209" s="424"/>
      <c r="B209" s="425"/>
      <c r="C209" s="425"/>
      <c r="D209" s="425"/>
      <c r="E209" s="425"/>
      <c r="F209" s="425"/>
      <c r="G209" s="426"/>
    </row>
    <row r="210" customFormat="false" ht="39.75" hidden="true" customHeight="true" outlineLevel="0" collapsed="false">
      <c r="A210" s="424"/>
      <c r="B210" s="425"/>
      <c r="C210" s="425"/>
      <c r="D210" s="425"/>
      <c r="E210" s="425"/>
      <c r="F210" s="425"/>
      <c r="G210" s="426"/>
    </row>
    <row r="211" customFormat="false" ht="39.75" hidden="true" customHeight="true" outlineLevel="0" collapsed="false">
      <c r="A211" s="424"/>
      <c r="B211" s="425"/>
      <c r="C211" s="425"/>
      <c r="D211" s="425"/>
      <c r="E211" s="425"/>
      <c r="F211" s="425"/>
      <c r="G211" s="426"/>
    </row>
    <row r="212" customFormat="false" ht="15" hidden="true" customHeight="true" outlineLevel="0" collapsed="false">
      <c r="A212" s="405"/>
      <c r="B212" s="309"/>
      <c r="C212" s="309"/>
      <c r="D212" s="309"/>
      <c r="E212" s="309"/>
      <c r="F212" s="309"/>
      <c r="G212" s="406"/>
    </row>
    <row r="213" customFormat="false" ht="30" hidden="true" customHeight="true" outlineLevel="0" collapsed="false">
      <c r="A213" s="427" t="s">
        <v>129</v>
      </c>
      <c r="B213" s="427"/>
      <c r="C213" s="429"/>
      <c r="D213" s="429"/>
      <c r="E213" s="429"/>
      <c r="F213" s="429"/>
      <c r="G213" s="429"/>
    </row>
    <row r="214" customFormat="false" ht="15" hidden="true" customHeight="true" outlineLevel="0" collapsed="false">
      <c r="A214" s="402"/>
      <c r="B214" s="423"/>
      <c r="C214" s="423"/>
      <c r="D214" s="423"/>
      <c r="E214" s="423"/>
      <c r="F214" s="423"/>
      <c r="G214" s="404"/>
    </row>
    <row r="215" customFormat="false" ht="39.75" hidden="true" customHeight="true" outlineLevel="0" collapsed="false">
      <c r="A215" s="424"/>
      <c r="B215" s="425"/>
      <c r="C215" s="425"/>
      <c r="D215" s="425"/>
      <c r="E215" s="425"/>
      <c r="F215" s="425"/>
      <c r="G215" s="426"/>
    </row>
    <row r="216" customFormat="false" ht="39.75" hidden="true" customHeight="true" outlineLevel="0" collapsed="false">
      <c r="A216" s="424"/>
      <c r="B216" s="425"/>
      <c r="C216" s="425"/>
      <c r="D216" s="425"/>
      <c r="E216" s="425"/>
      <c r="F216" s="425"/>
      <c r="G216" s="426"/>
    </row>
    <row r="217" customFormat="false" ht="39.75" hidden="true" customHeight="true" outlineLevel="0" collapsed="false">
      <c r="A217" s="424"/>
      <c r="B217" s="425"/>
      <c r="C217" s="425"/>
      <c r="D217" s="425"/>
      <c r="E217" s="425"/>
      <c r="F217" s="425"/>
      <c r="G217" s="426"/>
    </row>
    <row r="218" customFormat="false" ht="39.75" hidden="true" customHeight="true" outlineLevel="0" collapsed="false">
      <c r="A218" s="424"/>
      <c r="B218" s="425"/>
      <c r="C218" s="425"/>
      <c r="D218" s="425"/>
      <c r="E218" s="425"/>
      <c r="F218" s="425"/>
      <c r="G218" s="426"/>
    </row>
    <row r="219" customFormat="false" ht="39.75" hidden="true" customHeight="true" outlineLevel="0" collapsed="false">
      <c r="A219" s="424"/>
      <c r="B219" s="425"/>
      <c r="C219" s="425"/>
      <c r="D219" s="425"/>
      <c r="E219" s="425"/>
      <c r="F219" s="425"/>
      <c r="G219" s="426"/>
    </row>
    <row r="220" customFormat="false" ht="39.75" hidden="true" customHeight="true" outlineLevel="0" collapsed="false">
      <c r="A220" s="424"/>
      <c r="B220" s="425"/>
      <c r="C220" s="425"/>
      <c r="D220" s="425"/>
      <c r="E220" s="425"/>
      <c r="F220" s="425"/>
      <c r="G220" s="426"/>
    </row>
    <row r="221" customFormat="false" ht="39.75" hidden="true" customHeight="true" outlineLevel="0" collapsed="false">
      <c r="A221" s="424"/>
      <c r="B221" s="425"/>
      <c r="C221" s="425"/>
      <c r="D221" s="425"/>
      <c r="E221" s="425"/>
      <c r="F221" s="425"/>
      <c r="G221" s="426"/>
    </row>
    <row r="222" customFormat="false" ht="15" hidden="true" customHeight="true" outlineLevel="0" collapsed="false">
      <c r="A222" s="405"/>
      <c r="B222" s="309"/>
      <c r="C222" s="309"/>
      <c r="D222" s="309"/>
      <c r="E222" s="309"/>
      <c r="F222" s="309"/>
      <c r="G222" s="406"/>
    </row>
    <row r="223" customFormat="false" ht="30" hidden="true" customHeight="true" outlineLevel="0" collapsed="false">
      <c r="A223" s="427" t="s">
        <v>129</v>
      </c>
      <c r="B223" s="427"/>
      <c r="C223" s="429"/>
      <c r="D223" s="429"/>
      <c r="E223" s="429"/>
      <c r="F223" s="429"/>
      <c r="G223" s="429"/>
    </row>
  </sheetData>
  <mergeCells count="155">
    <mergeCell ref="A2:G2"/>
    <mergeCell ref="B4:F4"/>
    <mergeCell ref="A5:A11"/>
    <mergeCell ref="B5:F11"/>
    <mergeCell ref="G5:G11"/>
    <mergeCell ref="B12:F12"/>
    <mergeCell ref="A13:B13"/>
    <mergeCell ref="C13:G13"/>
    <mergeCell ref="B14:F14"/>
    <mergeCell ref="A15:A21"/>
    <mergeCell ref="B15:F21"/>
    <mergeCell ref="G15:G21"/>
    <mergeCell ref="B22:F22"/>
    <mergeCell ref="A23:B23"/>
    <mergeCell ref="C23:G23"/>
    <mergeCell ref="B24:F24"/>
    <mergeCell ref="A25:A31"/>
    <mergeCell ref="B25:F31"/>
    <mergeCell ref="G25:G31"/>
    <mergeCell ref="B32:F32"/>
    <mergeCell ref="A33:B33"/>
    <mergeCell ref="C33:G33"/>
    <mergeCell ref="B34:F34"/>
    <mergeCell ref="A35:A41"/>
    <mergeCell ref="B35:F41"/>
    <mergeCell ref="G35:G41"/>
    <mergeCell ref="B42:F42"/>
    <mergeCell ref="A43:B43"/>
    <mergeCell ref="C43:G43"/>
    <mergeCell ref="B44:F44"/>
    <mergeCell ref="A45:A51"/>
    <mergeCell ref="B45:F51"/>
    <mergeCell ref="G45:G51"/>
    <mergeCell ref="B52:F52"/>
    <mergeCell ref="A53:B53"/>
    <mergeCell ref="C53:G53"/>
    <mergeCell ref="B54:F54"/>
    <mergeCell ref="A55:A61"/>
    <mergeCell ref="B55:F61"/>
    <mergeCell ref="G55:G61"/>
    <mergeCell ref="B62:F62"/>
    <mergeCell ref="A63:B63"/>
    <mergeCell ref="C63:G63"/>
    <mergeCell ref="B64:F64"/>
    <mergeCell ref="A65:A71"/>
    <mergeCell ref="B65:F71"/>
    <mergeCell ref="G65:G71"/>
    <mergeCell ref="B72:F72"/>
    <mergeCell ref="A73:B73"/>
    <mergeCell ref="C73:G73"/>
    <mergeCell ref="B74:F74"/>
    <mergeCell ref="A75:A81"/>
    <mergeCell ref="B75:F81"/>
    <mergeCell ref="G75:G81"/>
    <mergeCell ref="B82:F82"/>
    <mergeCell ref="A83:B83"/>
    <mergeCell ref="C83:G83"/>
    <mergeCell ref="B84:F84"/>
    <mergeCell ref="A85:A91"/>
    <mergeCell ref="B85:F91"/>
    <mergeCell ref="G85:G91"/>
    <mergeCell ref="B92:F92"/>
    <mergeCell ref="A93:B93"/>
    <mergeCell ref="C93:G93"/>
    <mergeCell ref="B94:F94"/>
    <mergeCell ref="A95:A101"/>
    <mergeCell ref="B95:F101"/>
    <mergeCell ref="G95:G101"/>
    <mergeCell ref="B102:F102"/>
    <mergeCell ref="A103:B103"/>
    <mergeCell ref="C103:G103"/>
    <mergeCell ref="B104:F104"/>
    <mergeCell ref="A105:A111"/>
    <mergeCell ref="B105:F111"/>
    <mergeCell ref="G105:G111"/>
    <mergeCell ref="B112:F112"/>
    <mergeCell ref="A113:B113"/>
    <mergeCell ref="C113:G113"/>
    <mergeCell ref="B114:F114"/>
    <mergeCell ref="A115:A121"/>
    <mergeCell ref="B115:F121"/>
    <mergeCell ref="G115:G121"/>
    <mergeCell ref="B122:F122"/>
    <mergeCell ref="A123:B123"/>
    <mergeCell ref="C123:G123"/>
    <mergeCell ref="B124:F124"/>
    <mergeCell ref="A125:A131"/>
    <mergeCell ref="B125:F131"/>
    <mergeCell ref="G125:G131"/>
    <mergeCell ref="B132:F132"/>
    <mergeCell ref="A133:B133"/>
    <mergeCell ref="C133:G133"/>
    <mergeCell ref="B134:F134"/>
    <mergeCell ref="A135:A141"/>
    <mergeCell ref="B135:F141"/>
    <mergeCell ref="G135:G141"/>
    <mergeCell ref="B142:F142"/>
    <mergeCell ref="A143:B143"/>
    <mergeCell ref="C143:G143"/>
    <mergeCell ref="B144:F144"/>
    <mergeCell ref="A145:A151"/>
    <mergeCell ref="B145:F151"/>
    <mergeCell ref="G145:G151"/>
    <mergeCell ref="B152:F152"/>
    <mergeCell ref="A153:B153"/>
    <mergeCell ref="C153:G153"/>
    <mergeCell ref="B154:F154"/>
    <mergeCell ref="A155:A161"/>
    <mergeCell ref="B155:F161"/>
    <mergeCell ref="G155:G161"/>
    <mergeCell ref="B162:F162"/>
    <mergeCell ref="A163:B163"/>
    <mergeCell ref="C163:G163"/>
    <mergeCell ref="B164:F164"/>
    <mergeCell ref="A165:A171"/>
    <mergeCell ref="B165:F171"/>
    <mergeCell ref="G165:G171"/>
    <mergeCell ref="B172:F172"/>
    <mergeCell ref="A173:B173"/>
    <mergeCell ref="C173:G173"/>
    <mergeCell ref="B174:F174"/>
    <mergeCell ref="A175:A181"/>
    <mergeCell ref="B175:F181"/>
    <mergeCell ref="G175:G181"/>
    <mergeCell ref="B182:F182"/>
    <mergeCell ref="A183:B183"/>
    <mergeCell ref="C183:G183"/>
    <mergeCell ref="B184:F184"/>
    <mergeCell ref="A185:A191"/>
    <mergeCell ref="B185:F191"/>
    <mergeCell ref="G185:G191"/>
    <mergeCell ref="B192:F192"/>
    <mergeCell ref="A193:B193"/>
    <mergeCell ref="C193:G193"/>
    <mergeCell ref="B194:F194"/>
    <mergeCell ref="A195:A201"/>
    <mergeCell ref="B195:F201"/>
    <mergeCell ref="G195:G201"/>
    <mergeCell ref="B202:F202"/>
    <mergeCell ref="A203:B203"/>
    <mergeCell ref="C203:G203"/>
    <mergeCell ref="B204:F204"/>
    <mergeCell ref="A205:A211"/>
    <mergeCell ref="B205:F211"/>
    <mergeCell ref="G205:G211"/>
    <mergeCell ref="B212:F212"/>
    <mergeCell ref="A213:B213"/>
    <mergeCell ref="C213:G213"/>
    <mergeCell ref="B214:F214"/>
    <mergeCell ref="A215:A221"/>
    <mergeCell ref="B215:F221"/>
    <mergeCell ref="G215:G221"/>
    <mergeCell ref="B222:F222"/>
    <mergeCell ref="A223:B223"/>
    <mergeCell ref="C223:G223"/>
  </mergeCells>
  <printOptions headings="false" gridLines="false" gridLinesSet="true" horizontalCentered="true" verticalCentered="false"/>
  <pageMargins left="0.7875" right="0.7875" top="0.7875" bottom="0.590277777777778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&amp;R착공전사진대지&amp;P/&amp;N</oddFooter>
  </headerFooter>
  <rowBreaks count="10" manualBreakCount="10">
    <brk id="23" man="true" max="16383" min="0"/>
    <brk id="43" man="true" max="16383" min="0"/>
    <brk id="63" man="true" max="16383" min="0"/>
    <brk id="83" man="true" max="16383" min="0"/>
    <brk id="103" man="true" max="16383" min="0"/>
    <brk id="123" man="true" max="16383" min="0"/>
    <brk id="143" man="true" max="16383" min="0"/>
    <brk id="163" man="true" max="16383" min="0"/>
    <brk id="183" man="true" max="16383" min="0"/>
    <brk id="203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A8" activeCellId="0" sqref="AA8"/>
    </sheetView>
  </sheetViews>
  <sheetFormatPr defaultColWidth="8.75" defaultRowHeight="16.5" zeroHeight="false" outlineLevelRow="0" outlineLevelCol="0"/>
  <cols>
    <col collapsed="false" customWidth="false" hidden="false" outlineLevel="0" max="16384" min="1" style="42" width="8.75"/>
  </cols>
  <sheetData>
    <row r="1" customFormat="false" ht="16.5" hidden="false" customHeight="true" outlineLevel="0" collapsed="false">
      <c r="A1" s="402"/>
      <c r="B1" s="403"/>
      <c r="C1" s="403"/>
      <c r="D1" s="403"/>
      <c r="E1" s="403"/>
      <c r="F1" s="403"/>
      <c r="G1" s="403"/>
      <c r="H1" s="403"/>
      <c r="I1" s="404"/>
    </row>
    <row r="2" customFormat="false" ht="39.75" hidden="false" customHeight="true" outlineLevel="0" collapsed="false">
      <c r="A2" s="405"/>
      <c r="I2" s="406"/>
    </row>
    <row r="3" customFormat="false" ht="39.75" hidden="false" customHeight="true" outlineLevel="0" collapsed="false">
      <c r="A3" s="405"/>
      <c r="I3" s="406"/>
    </row>
    <row r="4" customFormat="false" ht="60" hidden="false" customHeight="true" outlineLevel="0" collapsed="false">
      <c r="A4" s="407"/>
      <c r="B4" s="408" t="s">
        <v>749</v>
      </c>
      <c r="C4" s="408"/>
      <c r="D4" s="408"/>
      <c r="E4" s="408"/>
      <c r="F4" s="408"/>
      <c r="G4" s="408"/>
      <c r="H4" s="408"/>
      <c r="I4" s="409"/>
    </row>
    <row r="5" customFormat="false" ht="39.75" hidden="false" customHeight="true" outlineLevel="0" collapsed="false">
      <c r="A5" s="410"/>
      <c r="B5" s="411"/>
      <c r="C5" s="411"/>
      <c r="D5" s="411"/>
      <c r="E5" s="411"/>
      <c r="F5" s="411"/>
      <c r="G5" s="411"/>
      <c r="H5" s="411"/>
      <c r="I5" s="412"/>
    </row>
    <row r="6" customFormat="false" ht="39.75" hidden="false" customHeight="true" outlineLevel="0" collapsed="false">
      <c r="A6" s="413" t="str">
        <f aca="false">표지!A11</f>
        <v>(예시) OO부대 시설물 보수공사</v>
      </c>
      <c r="B6" s="413"/>
      <c r="C6" s="413"/>
      <c r="D6" s="413"/>
      <c r="E6" s="413"/>
      <c r="F6" s="413"/>
      <c r="G6" s="413"/>
      <c r="H6" s="413"/>
      <c r="I6" s="413"/>
    </row>
    <row r="7" customFormat="false" ht="24.75" hidden="false" customHeight="true" outlineLevel="0" collapsed="false">
      <c r="A7" s="413"/>
      <c r="B7" s="413"/>
      <c r="C7" s="413"/>
      <c r="D7" s="413"/>
      <c r="E7" s="413"/>
      <c r="F7" s="413"/>
      <c r="G7" s="413"/>
      <c r="H7" s="413"/>
      <c r="I7" s="413"/>
    </row>
    <row r="8" customFormat="false" ht="39.75" hidden="false" customHeight="true" outlineLevel="0" collapsed="false">
      <c r="A8" s="405"/>
      <c r="I8" s="406"/>
    </row>
    <row r="9" customFormat="false" ht="39.75" hidden="false" customHeight="true" outlineLevel="0" collapsed="false">
      <c r="A9" s="405"/>
      <c r="I9" s="406"/>
    </row>
    <row r="10" customFormat="false" ht="15" hidden="false" customHeight="true" outlineLevel="0" collapsed="false">
      <c r="A10" s="405"/>
      <c r="I10" s="406"/>
    </row>
    <row r="11" customFormat="false" ht="30" hidden="false" customHeight="true" outlineLevel="0" collapsed="false">
      <c r="A11" s="414" t="n">
        <f aca="false">표지!A22</f>
        <v>46035</v>
      </c>
      <c r="B11" s="414"/>
      <c r="C11" s="414"/>
      <c r="D11" s="414"/>
      <c r="E11" s="414"/>
      <c r="F11" s="414"/>
      <c r="G11" s="414"/>
      <c r="H11" s="414"/>
      <c r="I11" s="414"/>
    </row>
    <row r="12" customFormat="false" ht="15" hidden="false" customHeight="true" outlineLevel="0" collapsed="false">
      <c r="A12" s="405"/>
      <c r="I12" s="406"/>
    </row>
    <row r="13" customFormat="false" ht="39.75" hidden="false" customHeight="true" outlineLevel="0" collapsed="false">
      <c r="A13" s="405"/>
      <c r="I13" s="406"/>
    </row>
    <row r="14" customFormat="false" ht="39.75" hidden="false" customHeight="true" outlineLevel="0" collapsed="false">
      <c r="A14" s="405"/>
      <c r="I14" s="406"/>
    </row>
    <row r="15" customFormat="false" ht="39.75" hidden="false" customHeight="true" outlineLevel="0" collapsed="false">
      <c r="A15" s="405"/>
      <c r="I15" s="406"/>
    </row>
    <row r="16" customFormat="false" ht="39.75" hidden="false" customHeight="true" outlineLevel="0" collapsed="false">
      <c r="A16" s="405"/>
      <c r="I16" s="406"/>
    </row>
    <row r="17" customFormat="false" ht="39.75" hidden="false" customHeight="true" outlineLevel="0" collapsed="false">
      <c r="A17" s="405"/>
      <c r="I17" s="406"/>
    </row>
    <row r="18" customFormat="false" ht="39.75" hidden="false" customHeight="true" outlineLevel="0" collapsed="false">
      <c r="A18" s="405"/>
      <c r="B18" s="415"/>
      <c r="C18" s="416" t="str">
        <f aca="false">표지!A30</f>
        <v>주식회사 가상건설</v>
      </c>
      <c r="D18" s="416"/>
      <c r="E18" s="416"/>
      <c r="F18" s="416"/>
      <c r="G18" s="416"/>
      <c r="H18" s="415"/>
      <c r="I18" s="417"/>
    </row>
    <row r="19" customFormat="false" ht="54" hidden="false" customHeight="true" outlineLevel="0" collapsed="false">
      <c r="A19" s="405"/>
      <c r="I19" s="406"/>
    </row>
    <row r="20" customFormat="false" ht="30" hidden="false" customHeight="true" outlineLevel="0" collapsed="false">
      <c r="A20" s="418"/>
      <c r="B20" s="419"/>
      <c r="C20" s="419"/>
      <c r="D20" s="419"/>
      <c r="E20" s="419"/>
      <c r="F20" s="419"/>
      <c r="G20" s="419"/>
      <c r="H20" s="419"/>
      <c r="I20" s="420"/>
    </row>
    <row r="21" customFormat="false" ht="15" hidden="false" customHeight="true" outlineLevel="0" collapsed="false"/>
    <row r="22" customFormat="false" ht="39.75" hidden="false" customHeight="true" outlineLevel="0" collapsed="false"/>
    <row r="23" customFormat="false" ht="39.75" hidden="false" customHeight="true" outlineLevel="0" collapsed="false"/>
    <row r="24" customFormat="false" ht="39.75" hidden="false" customHeight="true" outlineLevel="0" collapsed="false"/>
    <row r="25" customFormat="false" ht="39.75" hidden="false" customHeight="true" outlineLevel="0" collapsed="false"/>
    <row r="26" customFormat="false" ht="39.75" hidden="false" customHeight="true" outlineLevel="0" collapsed="false"/>
    <row r="27" customFormat="false" ht="39.75" hidden="false" customHeight="true" outlineLevel="0" collapsed="false"/>
    <row r="28" customFormat="false" ht="39.75" hidden="false" customHeight="true" outlineLevel="0" collapsed="false"/>
    <row r="29" customFormat="false" ht="15" hidden="false" customHeight="true" outlineLevel="0" collapsed="false"/>
    <row r="30" customFormat="false" ht="30" hidden="false" customHeight="true" outlineLevel="0" collapsed="false"/>
    <row r="31" customFormat="false" ht="15" hidden="false" customHeight="true" outlineLevel="0" collapsed="false"/>
    <row r="32" customFormat="false" ht="39.75" hidden="false" customHeight="true" outlineLevel="0" collapsed="false"/>
    <row r="33" customFormat="false" ht="39.75" hidden="false" customHeight="true" outlineLevel="0" collapsed="false"/>
    <row r="34" customFormat="false" ht="39.75" hidden="false" customHeight="true" outlineLevel="0" collapsed="false"/>
    <row r="35" customFormat="false" ht="39.75" hidden="false" customHeight="true" outlineLevel="0" collapsed="false"/>
    <row r="36" customFormat="false" ht="39.75" hidden="false" customHeight="true" outlineLevel="0" collapsed="false"/>
    <row r="37" customFormat="false" ht="39.75" hidden="false" customHeight="true" outlineLevel="0" collapsed="false"/>
    <row r="38" customFormat="false" ht="39.75" hidden="false" customHeight="true" outlineLevel="0" collapsed="false"/>
    <row r="39" customFormat="false" ht="15" hidden="false" customHeight="true" outlineLevel="0" collapsed="false"/>
    <row r="40" customFormat="false" ht="30" hidden="false" customHeight="true" outlineLevel="0" collapsed="false"/>
    <row r="41" customFormat="false" ht="15" hidden="false" customHeight="true" outlineLevel="0" collapsed="false"/>
    <row r="42" customFormat="false" ht="39.75" hidden="false" customHeight="true" outlineLevel="0" collapsed="false"/>
    <row r="43" customFormat="false" ht="39.75" hidden="false" customHeight="true" outlineLevel="0" collapsed="false"/>
    <row r="44" customFormat="false" ht="39.75" hidden="false" customHeight="true" outlineLevel="0" collapsed="false"/>
    <row r="45" customFormat="false" ht="39.75" hidden="false" customHeight="true" outlineLevel="0" collapsed="false"/>
    <row r="46" customFormat="false" ht="39.75" hidden="false" customHeight="true" outlineLevel="0" collapsed="false"/>
    <row r="47" customFormat="false" ht="39.75" hidden="false" customHeight="true" outlineLevel="0" collapsed="false"/>
    <row r="48" customFormat="false" ht="39.75" hidden="false" customHeight="true" outlineLevel="0" collapsed="false"/>
    <row r="49" customFormat="false" ht="15" hidden="false" customHeight="true" outlineLevel="0" collapsed="false"/>
    <row r="50" customFormat="false" ht="30" hidden="false" customHeight="true" outlineLevel="0" collapsed="false"/>
    <row r="51" customFormat="false" ht="15" hidden="false" customHeight="true" outlineLevel="0" collapsed="false"/>
    <row r="52" customFormat="false" ht="39.75" hidden="false" customHeight="true" outlineLevel="0" collapsed="false"/>
    <row r="53" customFormat="false" ht="39.75" hidden="false" customHeight="true" outlineLevel="0" collapsed="false"/>
    <row r="54" customFormat="false" ht="39.75" hidden="false" customHeight="true" outlineLevel="0" collapsed="false"/>
    <row r="55" customFormat="false" ht="39.75" hidden="false" customHeight="true" outlineLevel="0" collapsed="false"/>
    <row r="56" customFormat="false" ht="39.75" hidden="false" customHeight="true" outlineLevel="0" collapsed="false"/>
    <row r="57" customFormat="false" ht="39.75" hidden="false" customHeight="true" outlineLevel="0" collapsed="false"/>
    <row r="58" customFormat="false" ht="39.75" hidden="false" customHeight="true" outlineLevel="0" collapsed="false"/>
    <row r="59" customFormat="false" ht="15" hidden="false" customHeight="true" outlineLevel="0" collapsed="false"/>
    <row r="60" customFormat="false" ht="30" hidden="false" customHeight="true" outlineLevel="0" collapsed="false"/>
    <row r="61" customFormat="false" ht="15" hidden="false" customHeight="true" outlineLevel="0" collapsed="false"/>
    <row r="62" customFormat="false" ht="39.75" hidden="false" customHeight="true" outlineLevel="0" collapsed="false"/>
    <row r="63" customFormat="false" ht="39.75" hidden="false" customHeight="true" outlineLevel="0" collapsed="false"/>
    <row r="64" customFormat="false" ht="39.75" hidden="false" customHeight="true" outlineLevel="0" collapsed="false"/>
    <row r="65" customFormat="false" ht="39.75" hidden="false" customHeight="true" outlineLevel="0" collapsed="false"/>
    <row r="66" customFormat="false" ht="39.75" hidden="false" customHeight="true" outlineLevel="0" collapsed="false"/>
    <row r="67" customFormat="false" ht="39.75" hidden="false" customHeight="true" outlineLevel="0" collapsed="false"/>
    <row r="68" customFormat="false" ht="39.75" hidden="false" customHeight="true" outlineLevel="0" collapsed="false"/>
    <row r="69" customFormat="false" ht="15" hidden="false" customHeight="true" outlineLevel="0" collapsed="false"/>
    <row r="70" customFormat="false" ht="30" hidden="false" customHeight="true" outlineLevel="0" collapsed="false"/>
    <row r="71" customFormat="false" ht="15" hidden="false" customHeight="true" outlineLevel="0" collapsed="false"/>
    <row r="72" customFormat="false" ht="39.75" hidden="false" customHeight="true" outlineLevel="0" collapsed="false"/>
    <row r="73" customFormat="false" ht="39.75" hidden="false" customHeight="true" outlineLevel="0" collapsed="false"/>
    <row r="74" customFormat="false" ht="39.75" hidden="false" customHeight="true" outlineLevel="0" collapsed="false"/>
    <row r="75" customFormat="false" ht="39.75" hidden="false" customHeight="true" outlineLevel="0" collapsed="false"/>
    <row r="76" customFormat="false" ht="39.75" hidden="false" customHeight="true" outlineLevel="0" collapsed="false"/>
    <row r="77" customFormat="false" ht="39.75" hidden="false" customHeight="true" outlineLevel="0" collapsed="false"/>
    <row r="78" customFormat="false" ht="39.75" hidden="false" customHeight="true" outlineLevel="0" collapsed="false"/>
    <row r="79" customFormat="false" ht="15" hidden="false" customHeight="true" outlineLevel="0" collapsed="false"/>
    <row r="80" customFormat="false" ht="30" hidden="false" customHeight="true" outlineLevel="0" collapsed="false"/>
    <row r="81" customFormat="false" ht="15" hidden="false" customHeight="true" outlineLevel="0" collapsed="false"/>
    <row r="82" customFormat="false" ht="39.75" hidden="false" customHeight="true" outlineLevel="0" collapsed="false"/>
    <row r="83" customFormat="false" ht="39.75" hidden="false" customHeight="true" outlineLevel="0" collapsed="false"/>
    <row r="84" customFormat="false" ht="39.75" hidden="false" customHeight="true" outlineLevel="0" collapsed="false"/>
    <row r="85" customFormat="false" ht="39.75" hidden="false" customHeight="true" outlineLevel="0" collapsed="false"/>
    <row r="86" customFormat="false" ht="39.75" hidden="false" customHeight="true" outlineLevel="0" collapsed="false"/>
    <row r="87" customFormat="false" ht="39.75" hidden="false" customHeight="true" outlineLevel="0" collapsed="false"/>
    <row r="88" customFormat="false" ht="39.75" hidden="false" customHeight="true" outlineLevel="0" collapsed="false"/>
    <row r="89" customFormat="false" ht="15" hidden="false" customHeight="true" outlineLevel="0" collapsed="false"/>
    <row r="90" customFormat="false" ht="30" hidden="false" customHeight="true" outlineLevel="0" collapsed="false"/>
    <row r="91" customFormat="false" ht="15" hidden="false" customHeight="true" outlineLevel="0" collapsed="false"/>
    <row r="92" customFormat="false" ht="39.75" hidden="false" customHeight="true" outlineLevel="0" collapsed="false"/>
    <row r="93" customFormat="false" ht="39.75" hidden="false" customHeight="true" outlineLevel="0" collapsed="false"/>
    <row r="94" customFormat="false" ht="39.75" hidden="false" customHeight="true" outlineLevel="0" collapsed="false"/>
    <row r="95" customFormat="false" ht="39.75" hidden="false" customHeight="true" outlineLevel="0" collapsed="false"/>
    <row r="96" customFormat="false" ht="39.75" hidden="false" customHeight="true" outlineLevel="0" collapsed="false"/>
    <row r="97" customFormat="false" ht="39.75" hidden="false" customHeight="true" outlineLevel="0" collapsed="false"/>
    <row r="98" customFormat="false" ht="39.75" hidden="false" customHeight="true" outlineLevel="0" collapsed="false"/>
    <row r="99" customFormat="false" ht="15" hidden="false" customHeight="true" outlineLevel="0" collapsed="false"/>
    <row r="100" customFormat="false" ht="30" hidden="false" customHeight="true" outlineLevel="0" collapsed="false"/>
    <row r="101" customFormat="false" ht="15" hidden="false" customHeight="true" outlineLevel="0" collapsed="false"/>
    <row r="102" customFormat="false" ht="39.75" hidden="false" customHeight="true" outlineLevel="0" collapsed="false"/>
    <row r="103" customFormat="false" ht="39.75" hidden="false" customHeight="true" outlineLevel="0" collapsed="false"/>
    <row r="104" customFormat="false" ht="39.75" hidden="false" customHeight="true" outlineLevel="0" collapsed="false"/>
    <row r="105" customFormat="false" ht="39.75" hidden="false" customHeight="true" outlineLevel="0" collapsed="false"/>
    <row r="106" customFormat="false" ht="39.75" hidden="false" customHeight="true" outlineLevel="0" collapsed="false"/>
    <row r="107" customFormat="false" ht="39.75" hidden="false" customHeight="true" outlineLevel="0" collapsed="false"/>
    <row r="108" customFormat="false" ht="39.75" hidden="false" customHeight="true" outlineLevel="0" collapsed="false"/>
    <row r="109" customFormat="false" ht="15" hidden="false" customHeight="true" outlineLevel="0" collapsed="false"/>
    <row r="110" customFormat="false" ht="30" hidden="false" customHeight="true" outlineLevel="0" collapsed="false"/>
    <row r="111" customFormat="false" ht="15" hidden="false" customHeight="true" outlineLevel="0" collapsed="false"/>
    <row r="112" customFormat="false" ht="39.75" hidden="false" customHeight="true" outlineLevel="0" collapsed="false"/>
    <row r="113" customFormat="false" ht="39.75" hidden="false" customHeight="true" outlineLevel="0" collapsed="false"/>
    <row r="114" customFormat="false" ht="39.75" hidden="false" customHeight="true" outlineLevel="0" collapsed="false"/>
    <row r="115" customFormat="false" ht="39.75" hidden="false" customHeight="true" outlineLevel="0" collapsed="false"/>
    <row r="116" customFormat="false" ht="39.75" hidden="false" customHeight="true" outlineLevel="0" collapsed="false"/>
    <row r="117" customFormat="false" ht="39.75" hidden="false" customHeight="true" outlineLevel="0" collapsed="false"/>
    <row r="118" customFormat="false" ht="39.75" hidden="false" customHeight="true" outlineLevel="0" collapsed="false"/>
    <row r="119" customFormat="false" ht="15" hidden="false" customHeight="true" outlineLevel="0" collapsed="false"/>
    <row r="120" customFormat="false" ht="30" hidden="false" customHeight="true" outlineLevel="0" collapsed="false"/>
    <row r="121" customFormat="false" ht="15" hidden="false" customHeight="true" outlineLevel="0" collapsed="false"/>
    <row r="122" customFormat="false" ht="39.75" hidden="false" customHeight="true" outlineLevel="0" collapsed="false"/>
    <row r="123" customFormat="false" ht="39.75" hidden="false" customHeight="true" outlineLevel="0" collapsed="false"/>
    <row r="124" customFormat="false" ht="39.75" hidden="false" customHeight="true" outlineLevel="0" collapsed="false"/>
    <row r="125" customFormat="false" ht="39.75" hidden="false" customHeight="true" outlineLevel="0" collapsed="false"/>
    <row r="126" customFormat="false" ht="39.75" hidden="false" customHeight="true" outlineLevel="0" collapsed="false"/>
    <row r="127" customFormat="false" ht="39.75" hidden="false" customHeight="true" outlineLevel="0" collapsed="false"/>
    <row r="128" customFormat="false" ht="39.75" hidden="false" customHeight="true" outlineLevel="0" collapsed="false"/>
    <row r="129" customFormat="false" ht="15" hidden="false" customHeight="true" outlineLevel="0" collapsed="false"/>
    <row r="130" customFormat="false" ht="30" hidden="false" customHeight="true" outlineLevel="0" collapsed="false"/>
    <row r="131" customFormat="false" ht="15" hidden="false" customHeight="true" outlineLevel="0" collapsed="false"/>
    <row r="132" customFormat="false" ht="39.75" hidden="false" customHeight="true" outlineLevel="0" collapsed="false"/>
    <row r="133" customFormat="false" ht="39.75" hidden="false" customHeight="true" outlineLevel="0" collapsed="false"/>
    <row r="134" customFormat="false" ht="39.75" hidden="false" customHeight="true" outlineLevel="0" collapsed="false"/>
    <row r="135" customFormat="false" ht="39.75" hidden="false" customHeight="true" outlineLevel="0" collapsed="false"/>
    <row r="136" customFormat="false" ht="39.75" hidden="false" customHeight="true" outlineLevel="0" collapsed="false"/>
    <row r="137" customFormat="false" ht="39.75" hidden="false" customHeight="true" outlineLevel="0" collapsed="false"/>
    <row r="138" customFormat="false" ht="39.75" hidden="false" customHeight="true" outlineLevel="0" collapsed="false"/>
    <row r="139" customFormat="false" ht="15" hidden="false" customHeight="true" outlineLevel="0" collapsed="false"/>
    <row r="140" customFormat="false" ht="30" hidden="false" customHeight="true" outlineLevel="0" collapsed="false"/>
    <row r="141" customFormat="false" ht="15" hidden="false" customHeight="true" outlineLevel="0" collapsed="false"/>
    <row r="142" customFormat="false" ht="39.75" hidden="false" customHeight="true" outlineLevel="0" collapsed="false"/>
    <row r="143" customFormat="false" ht="39.75" hidden="false" customHeight="true" outlineLevel="0" collapsed="false"/>
    <row r="144" customFormat="false" ht="39.75" hidden="false" customHeight="true" outlineLevel="0" collapsed="false"/>
    <row r="145" customFormat="false" ht="39.75" hidden="false" customHeight="true" outlineLevel="0" collapsed="false"/>
    <row r="146" customFormat="false" ht="39.75" hidden="false" customHeight="true" outlineLevel="0" collapsed="false"/>
    <row r="147" customFormat="false" ht="39.75" hidden="false" customHeight="true" outlineLevel="0" collapsed="false"/>
    <row r="148" customFormat="false" ht="39.75" hidden="false" customHeight="true" outlineLevel="0" collapsed="false"/>
    <row r="149" customFormat="false" ht="15" hidden="false" customHeight="true" outlineLevel="0" collapsed="false"/>
    <row r="150" customFormat="false" ht="30" hidden="false" customHeight="true" outlineLevel="0" collapsed="false"/>
    <row r="151" customFormat="false" ht="15" hidden="false" customHeight="true" outlineLevel="0" collapsed="false"/>
    <row r="152" customFormat="false" ht="39.75" hidden="false" customHeight="true" outlineLevel="0" collapsed="false"/>
    <row r="153" customFormat="false" ht="39.75" hidden="false" customHeight="true" outlineLevel="0" collapsed="false"/>
    <row r="154" customFormat="false" ht="39.75" hidden="false" customHeight="true" outlineLevel="0" collapsed="false"/>
    <row r="155" customFormat="false" ht="39.75" hidden="false" customHeight="true" outlineLevel="0" collapsed="false"/>
    <row r="156" customFormat="false" ht="39.75" hidden="false" customHeight="true" outlineLevel="0" collapsed="false"/>
    <row r="157" customFormat="false" ht="39.75" hidden="false" customHeight="true" outlineLevel="0" collapsed="false"/>
    <row r="158" customFormat="false" ht="39.75" hidden="false" customHeight="true" outlineLevel="0" collapsed="false"/>
    <row r="159" customFormat="false" ht="15" hidden="false" customHeight="true" outlineLevel="0" collapsed="false"/>
    <row r="160" customFormat="false" ht="30" hidden="false" customHeight="true" outlineLevel="0" collapsed="false"/>
    <row r="161" customFormat="false" ht="15" hidden="false" customHeight="true" outlineLevel="0" collapsed="false"/>
    <row r="162" customFormat="false" ht="39.75" hidden="false" customHeight="true" outlineLevel="0" collapsed="false"/>
    <row r="163" customFormat="false" ht="39.75" hidden="false" customHeight="true" outlineLevel="0" collapsed="false"/>
    <row r="164" customFormat="false" ht="39.75" hidden="false" customHeight="true" outlineLevel="0" collapsed="false"/>
    <row r="165" customFormat="false" ht="39.75" hidden="false" customHeight="true" outlineLevel="0" collapsed="false"/>
    <row r="166" customFormat="false" ht="39.75" hidden="false" customHeight="true" outlineLevel="0" collapsed="false"/>
    <row r="167" customFormat="false" ht="39.75" hidden="false" customHeight="true" outlineLevel="0" collapsed="false"/>
    <row r="168" customFormat="false" ht="39.75" hidden="false" customHeight="true" outlineLevel="0" collapsed="false"/>
    <row r="169" customFormat="false" ht="15" hidden="false" customHeight="true" outlineLevel="0" collapsed="false"/>
    <row r="170" customFormat="false" ht="30" hidden="false" customHeight="true" outlineLevel="0" collapsed="false"/>
    <row r="171" customFormat="false" ht="15" hidden="false" customHeight="true" outlineLevel="0" collapsed="false"/>
    <row r="172" customFormat="false" ht="39.75" hidden="false" customHeight="true" outlineLevel="0" collapsed="false"/>
    <row r="173" customFormat="false" ht="39.75" hidden="false" customHeight="true" outlineLevel="0" collapsed="false"/>
    <row r="174" customFormat="false" ht="39.75" hidden="false" customHeight="true" outlineLevel="0" collapsed="false"/>
    <row r="175" customFormat="false" ht="39.75" hidden="false" customHeight="true" outlineLevel="0" collapsed="false"/>
    <row r="176" customFormat="false" ht="39.75" hidden="false" customHeight="true" outlineLevel="0" collapsed="false"/>
    <row r="177" customFormat="false" ht="39.75" hidden="false" customHeight="true" outlineLevel="0" collapsed="false"/>
    <row r="178" customFormat="false" ht="39.75" hidden="false" customHeight="true" outlineLevel="0" collapsed="false"/>
    <row r="179" customFormat="false" ht="15" hidden="false" customHeight="true" outlineLevel="0" collapsed="false"/>
    <row r="180" customFormat="false" ht="30" hidden="false" customHeight="true" outlineLevel="0" collapsed="false"/>
    <row r="181" customFormat="false" ht="15" hidden="false" customHeight="true" outlineLevel="0" collapsed="false"/>
    <row r="182" customFormat="false" ht="39.75" hidden="false" customHeight="true" outlineLevel="0" collapsed="false"/>
    <row r="183" customFormat="false" ht="39.75" hidden="false" customHeight="true" outlineLevel="0" collapsed="false"/>
    <row r="184" customFormat="false" ht="39.75" hidden="false" customHeight="true" outlineLevel="0" collapsed="false"/>
    <row r="185" customFormat="false" ht="39.75" hidden="false" customHeight="true" outlineLevel="0" collapsed="false"/>
    <row r="186" customFormat="false" ht="39.75" hidden="false" customHeight="true" outlineLevel="0" collapsed="false"/>
    <row r="187" customFormat="false" ht="39.75" hidden="false" customHeight="true" outlineLevel="0" collapsed="false"/>
    <row r="188" customFormat="false" ht="39.75" hidden="false" customHeight="true" outlineLevel="0" collapsed="false"/>
    <row r="189" customFormat="false" ht="15" hidden="false" customHeight="true" outlineLevel="0" collapsed="false"/>
    <row r="190" customFormat="false" ht="30" hidden="false" customHeight="true" outlineLevel="0" collapsed="false"/>
    <row r="191" customFormat="false" ht="15" hidden="false" customHeight="true" outlineLevel="0" collapsed="false"/>
    <row r="192" customFormat="false" ht="39.75" hidden="false" customHeight="true" outlineLevel="0" collapsed="false"/>
    <row r="193" customFormat="false" ht="39.75" hidden="false" customHeight="true" outlineLevel="0" collapsed="false"/>
    <row r="194" customFormat="false" ht="39.75" hidden="false" customHeight="true" outlineLevel="0" collapsed="false"/>
    <row r="195" customFormat="false" ht="39.75" hidden="false" customHeight="true" outlineLevel="0" collapsed="false"/>
    <row r="196" customFormat="false" ht="39.75" hidden="false" customHeight="true" outlineLevel="0" collapsed="false"/>
    <row r="197" customFormat="false" ht="39.75" hidden="false" customHeight="true" outlineLevel="0" collapsed="false"/>
    <row r="198" customFormat="false" ht="39.75" hidden="false" customHeight="true" outlineLevel="0" collapsed="false"/>
    <row r="199" customFormat="false" ht="15" hidden="false" customHeight="true" outlineLevel="0" collapsed="false"/>
    <row r="200" customFormat="false" ht="30" hidden="false" customHeight="true" outlineLevel="0" collapsed="false"/>
    <row r="201" customFormat="false" ht="15" hidden="false" customHeight="true" outlineLevel="0" collapsed="false"/>
    <row r="202" customFormat="false" ht="39.75" hidden="false" customHeight="true" outlineLevel="0" collapsed="false"/>
    <row r="203" customFormat="false" ht="39.75" hidden="false" customHeight="true" outlineLevel="0" collapsed="false"/>
    <row r="204" customFormat="false" ht="39.75" hidden="false" customHeight="true" outlineLevel="0" collapsed="false"/>
    <row r="205" customFormat="false" ht="39.75" hidden="false" customHeight="true" outlineLevel="0" collapsed="false"/>
    <row r="206" customFormat="false" ht="39.75" hidden="false" customHeight="true" outlineLevel="0" collapsed="false"/>
    <row r="207" customFormat="false" ht="39.75" hidden="false" customHeight="true" outlineLevel="0" collapsed="false"/>
    <row r="208" customFormat="false" ht="39.75" hidden="false" customHeight="true" outlineLevel="0" collapsed="false"/>
    <row r="209" customFormat="false" ht="15" hidden="false" customHeight="true" outlineLevel="0" collapsed="false"/>
    <row r="210" customFormat="false" ht="30" hidden="false" customHeight="true" outlineLevel="0" collapsed="false"/>
    <row r="211" customFormat="false" ht="15" hidden="false" customHeight="true" outlineLevel="0" collapsed="false"/>
    <row r="212" customFormat="false" ht="39.75" hidden="false" customHeight="true" outlineLevel="0" collapsed="false"/>
    <row r="213" customFormat="false" ht="39.75" hidden="false" customHeight="true" outlineLevel="0" collapsed="false"/>
    <row r="214" customFormat="false" ht="39.75" hidden="false" customHeight="true" outlineLevel="0" collapsed="false"/>
    <row r="215" customFormat="false" ht="39.75" hidden="false" customHeight="true" outlineLevel="0" collapsed="false"/>
    <row r="216" customFormat="false" ht="39.75" hidden="false" customHeight="true" outlineLevel="0" collapsed="false"/>
    <row r="217" customFormat="false" ht="39.75" hidden="false" customHeight="true" outlineLevel="0" collapsed="false"/>
    <row r="218" customFormat="false" ht="39.75" hidden="false" customHeight="true" outlineLevel="0" collapsed="false"/>
    <row r="219" customFormat="false" ht="15" hidden="false" customHeight="true" outlineLevel="0" collapsed="false"/>
    <row r="220" customFormat="false" ht="30" hidden="false" customHeight="true" outlineLevel="0" collapsed="false"/>
    <row r="221" customFormat="false" ht="15" hidden="false" customHeight="true" outlineLevel="0" collapsed="false"/>
    <row r="222" customFormat="false" ht="39.75" hidden="false" customHeight="true" outlineLevel="0" collapsed="false"/>
    <row r="223" customFormat="false" ht="39.75" hidden="false" customHeight="true" outlineLevel="0" collapsed="false"/>
    <row r="224" customFormat="false" ht="39.75" hidden="false" customHeight="true" outlineLevel="0" collapsed="false"/>
    <row r="225" customFormat="false" ht="39.75" hidden="false" customHeight="true" outlineLevel="0" collapsed="false"/>
    <row r="226" customFormat="false" ht="39.75" hidden="false" customHeight="true" outlineLevel="0" collapsed="false"/>
    <row r="227" customFormat="false" ht="39.75" hidden="false" customHeight="true" outlineLevel="0" collapsed="false"/>
    <row r="228" customFormat="false" ht="39.75" hidden="false" customHeight="true" outlineLevel="0" collapsed="false"/>
    <row r="229" customFormat="false" ht="15" hidden="false" customHeight="true" outlineLevel="0" collapsed="false"/>
    <row r="230" customFormat="false" ht="30" hidden="false" customHeight="true" outlineLevel="0" collapsed="false"/>
    <row r="231" customFormat="false" ht="15" hidden="false" customHeight="true" outlineLevel="0" collapsed="false"/>
    <row r="232" customFormat="false" ht="39.75" hidden="false" customHeight="true" outlineLevel="0" collapsed="false"/>
    <row r="233" customFormat="false" ht="39.75" hidden="false" customHeight="true" outlineLevel="0" collapsed="false"/>
    <row r="234" customFormat="false" ht="39.75" hidden="false" customHeight="true" outlineLevel="0" collapsed="false"/>
    <row r="235" customFormat="false" ht="39.75" hidden="false" customHeight="true" outlineLevel="0" collapsed="false"/>
    <row r="236" customFormat="false" ht="39.75" hidden="false" customHeight="true" outlineLevel="0" collapsed="false"/>
    <row r="237" customFormat="false" ht="39.75" hidden="false" customHeight="true" outlineLevel="0" collapsed="false"/>
    <row r="238" customFormat="false" ht="39.75" hidden="false" customHeight="true" outlineLevel="0" collapsed="false"/>
    <row r="239" customFormat="false" ht="15" hidden="false" customHeight="true" outlineLevel="0" collapsed="false"/>
    <row r="240" customFormat="false" ht="30" hidden="false" customHeight="true" outlineLevel="0" collapsed="false"/>
  </sheetData>
  <mergeCells count="5">
    <mergeCell ref="B4:H4"/>
    <mergeCell ref="A6:I6"/>
    <mergeCell ref="A7:I7"/>
    <mergeCell ref="A11:I11"/>
    <mergeCell ref="C18:G18"/>
  </mergeCells>
  <printOptions headings="false" gridLines="false" gridLinesSet="true" horizontalCentered="true" verticalCentered="false"/>
  <pageMargins left="0.39375" right="0.39375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B27" activeCellId="0" sqref="AB27"/>
    </sheetView>
  </sheetViews>
  <sheetFormatPr defaultColWidth="9" defaultRowHeight="13.5" zeroHeight="false" outlineLevelRow="0" outlineLevelCol="0"/>
  <cols>
    <col collapsed="false" customWidth="true" hidden="false" outlineLevel="0" max="1" min="1" style="173" width="19.13"/>
    <col collapsed="false" customWidth="true" hidden="false" outlineLevel="0" max="2" min="2" style="173" width="13.5"/>
    <col collapsed="false" customWidth="true" hidden="false" outlineLevel="0" max="4" min="3" style="173" width="4.88"/>
    <col collapsed="false" customWidth="true" hidden="false" outlineLevel="0" max="5" min="5" style="173" width="6.63"/>
    <col collapsed="false" customWidth="true" hidden="false" outlineLevel="0" max="6" min="6" style="173" width="9.5"/>
    <col collapsed="false" customWidth="true" hidden="false" outlineLevel="0" max="8" min="7" style="173" width="7.5"/>
    <col collapsed="false" customWidth="true" hidden="false" outlineLevel="0" max="10" min="9" style="173" width="6.88"/>
    <col collapsed="false" customWidth="true" hidden="false" outlineLevel="0" max="11" min="11" style="173" width="5.63"/>
    <col collapsed="false" customWidth="true" hidden="false" outlineLevel="0" max="12" min="12" style="173" width="8.88"/>
    <col collapsed="false" customWidth="true" hidden="false" outlineLevel="0" max="13" min="13" style="173" width="20.63"/>
    <col collapsed="false" customWidth="true" hidden="false" outlineLevel="0" max="14" min="14" style="173" width="11.5"/>
    <col collapsed="false" customWidth="false" hidden="false" outlineLevel="0" max="16384" min="15" style="173" width="9"/>
  </cols>
  <sheetData>
    <row r="1" customFormat="false" ht="39.75" hidden="false" customHeight="true" outlineLevel="0" collapsed="false">
      <c r="A1" s="430" t="s">
        <v>750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</row>
    <row r="2" customFormat="false" ht="18" hidden="false" customHeight="true" outlineLevel="0" collapsed="false">
      <c r="A2" s="431" t="s">
        <v>0</v>
      </c>
      <c r="B2" s="432" t="str">
        <f aca="false">공사정보_출력X!C2</f>
        <v>(예시) OO부대 시설물 보수공사</v>
      </c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customFormat="false" ht="18" hidden="false" customHeight="true" outlineLevel="0" collapsed="false">
      <c r="A3" s="433" t="s">
        <v>751</v>
      </c>
      <c r="B3" s="434" t="str">
        <f aca="false">공사정보_출력X!C3</f>
        <v>종합공사</v>
      </c>
      <c r="C3" s="434"/>
      <c r="D3" s="434"/>
      <c r="E3" s="434"/>
      <c r="F3" s="434"/>
      <c r="G3" s="435" t="s">
        <v>4</v>
      </c>
      <c r="H3" s="435"/>
      <c r="I3" s="436" t="str">
        <f aca="false">공사정보_출력X!C4</f>
        <v>OO도 OO시 OO구</v>
      </c>
      <c r="J3" s="436"/>
      <c r="K3" s="436"/>
      <c r="L3" s="436"/>
    </row>
    <row r="4" customFormat="false" ht="18" hidden="false" customHeight="true" outlineLevel="0" collapsed="false">
      <c r="A4" s="437" t="s">
        <v>544</v>
      </c>
      <c r="B4" s="438" t="s">
        <v>75</v>
      </c>
      <c r="C4" s="439" t="str">
        <f aca="false">공사정보_출력X!C8</f>
        <v>OO부대</v>
      </c>
      <c r="D4" s="439"/>
      <c r="E4" s="439"/>
      <c r="F4" s="439"/>
      <c r="G4" s="439"/>
      <c r="H4" s="439"/>
      <c r="I4" s="440" t="s">
        <v>752</v>
      </c>
      <c r="J4" s="440"/>
      <c r="K4" s="440"/>
      <c r="L4" s="440"/>
    </row>
    <row r="5" customFormat="false" ht="18" hidden="false" customHeight="true" outlineLevel="0" collapsed="false">
      <c r="A5" s="437"/>
      <c r="B5" s="441" t="s">
        <v>46</v>
      </c>
      <c r="C5" s="442"/>
      <c r="D5" s="442"/>
      <c r="E5" s="442"/>
      <c r="F5" s="442"/>
      <c r="G5" s="441" t="s">
        <v>23</v>
      </c>
      <c r="H5" s="441"/>
      <c r="I5" s="443" t="str">
        <f aca="false">공사정보_출력X!C4</f>
        <v>OO도 OO시 OO구</v>
      </c>
      <c r="J5" s="443"/>
      <c r="K5" s="443"/>
      <c r="L5" s="443"/>
    </row>
    <row r="6" customFormat="false" ht="18" hidden="false" customHeight="true" outlineLevel="0" collapsed="false">
      <c r="A6" s="444" t="s">
        <v>11</v>
      </c>
      <c r="B6" s="441" t="s">
        <v>75</v>
      </c>
      <c r="C6" s="445" t="str">
        <f aca="false">공사정보_출력X!C6</f>
        <v>주식회사 가상건설</v>
      </c>
      <c r="D6" s="445"/>
      <c r="E6" s="445"/>
      <c r="F6" s="445"/>
      <c r="G6" s="441" t="s">
        <v>753</v>
      </c>
      <c r="H6" s="441"/>
      <c r="I6" s="446" t="str">
        <f aca="false">공사정보_출력X!E6</f>
        <v>OO도 OO시 OO구 OO로 00 (OO동) OOO호</v>
      </c>
      <c r="J6" s="446"/>
      <c r="K6" s="446"/>
      <c r="L6" s="446"/>
    </row>
    <row r="7" customFormat="false" ht="18" hidden="false" customHeight="true" outlineLevel="0" collapsed="false">
      <c r="A7" s="444"/>
      <c r="B7" s="447" t="s">
        <v>542</v>
      </c>
      <c r="C7" s="442" t="str">
        <f aca="false">공사정보_출력X!C7</f>
        <v>홍길동</v>
      </c>
      <c r="D7" s="442"/>
      <c r="E7" s="442"/>
      <c r="F7" s="442"/>
      <c r="G7" s="441"/>
      <c r="H7" s="441"/>
      <c r="I7" s="446"/>
      <c r="J7" s="446"/>
      <c r="K7" s="446"/>
      <c r="L7" s="446"/>
    </row>
    <row r="8" customFormat="false" ht="24" hidden="true" customHeight="true" outlineLevel="0" collapsed="false">
      <c r="A8" s="444" t="s">
        <v>754</v>
      </c>
      <c r="B8" s="441" t="s">
        <v>75</v>
      </c>
      <c r="C8" s="442"/>
      <c r="D8" s="442"/>
      <c r="E8" s="442"/>
      <c r="F8" s="442"/>
      <c r="G8" s="441" t="s">
        <v>753</v>
      </c>
      <c r="H8" s="441"/>
      <c r="I8" s="443"/>
      <c r="J8" s="443"/>
      <c r="K8" s="443"/>
      <c r="L8" s="443"/>
    </row>
    <row r="9" customFormat="false" ht="24" hidden="true" customHeight="true" outlineLevel="0" collapsed="false">
      <c r="A9" s="444"/>
      <c r="B9" s="447" t="s">
        <v>542</v>
      </c>
      <c r="C9" s="442"/>
      <c r="D9" s="442"/>
      <c r="E9" s="442"/>
      <c r="F9" s="442"/>
      <c r="G9" s="441"/>
      <c r="H9" s="441"/>
      <c r="I9" s="443"/>
      <c r="J9" s="443"/>
      <c r="K9" s="443"/>
      <c r="L9" s="443"/>
    </row>
    <row r="10" customFormat="false" ht="18" hidden="false" customHeight="true" outlineLevel="0" collapsed="false">
      <c r="A10" s="431" t="s">
        <v>755</v>
      </c>
      <c r="B10" s="448" t="s">
        <v>756</v>
      </c>
      <c r="C10" s="448"/>
      <c r="D10" s="448"/>
      <c r="E10" s="448"/>
      <c r="F10" s="448"/>
      <c r="G10" s="448"/>
      <c r="H10" s="448"/>
      <c r="I10" s="448"/>
      <c r="J10" s="448"/>
      <c r="K10" s="448"/>
      <c r="L10" s="448"/>
    </row>
    <row r="11" customFormat="false" ht="18" hidden="false" customHeight="true" outlineLevel="0" collapsed="false">
      <c r="A11" s="449" t="s">
        <v>757</v>
      </c>
      <c r="B11" s="450" t="s">
        <v>758</v>
      </c>
      <c r="C11" s="450"/>
      <c r="D11" s="450"/>
      <c r="E11" s="450"/>
      <c r="F11" s="450"/>
      <c r="G11" s="450"/>
      <c r="H11" s="450"/>
      <c r="I11" s="450"/>
      <c r="J11" s="450"/>
      <c r="K11" s="450"/>
      <c r="L11" s="450"/>
    </row>
    <row r="12" customFormat="false" ht="18" hidden="false" customHeight="true" outlineLevel="0" collapsed="false">
      <c r="A12" s="449" t="s">
        <v>759</v>
      </c>
      <c r="B12" s="451" t="n">
        <f aca="false">공사정보_출력X!C10</f>
        <v>46029</v>
      </c>
      <c r="C12" s="451"/>
      <c r="D12" s="452"/>
      <c r="E12" s="453" t="s">
        <v>760</v>
      </c>
      <c r="F12" s="453"/>
      <c r="G12" s="451" t="n">
        <f aca="false">공사정보_출력X!C11</f>
        <v>46029</v>
      </c>
      <c r="H12" s="451"/>
      <c r="I12" s="453" t="s">
        <v>761</v>
      </c>
      <c r="J12" s="453"/>
      <c r="K12" s="451" t="n">
        <f aca="false">공사정보_출력X!C12</f>
        <v>46073</v>
      </c>
      <c r="L12" s="451"/>
    </row>
    <row r="13" customFormat="false" ht="18" hidden="false" customHeight="true" outlineLevel="0" collapsed="false">
      <c r="A13" s="433" t="s">
        <v>762</v>
      </c>
      <c r="B13" s="454" t="n">
        <f aca="false">I13</f>
        <v>104778032</v>
      </c>
      <c r="C13" s="454"/>
      <c r="D13" s="454"/>
      <c r="E13" s="454"/>
      <c r="F13" s="454"/>
      <c r="G13" s="454"/>
      <c r="H13" s="454"/>
      <c r="I13" s="455" t="n">
        <f aca="false">C40</f>
        <v>104778032</v>
      </c>
      <c r="J13" s="455"/>
      <c r="K13" s="455"/>
      <c r="L13" s="455"/>
    </row>
    <row r="14" customFormat="false" ht="18" hidden="false" customHeight="true" outlineLevel="0" collapsed="false">
      <c r="A14" s="456" t="s">
        <v>763</v>
      </c>
      <c r="B14" s="456"/>
      <c r="C14" s="456"/>
      <c r="D14" s="456"/>
      <c r="E14" s="456"/>
      <c r="F14" s="456"/>
      <c r="G14" s="456"/>
      <c r="H14" s="456"/>
      <c r="I14" s="456"/>
      <c r="J14" s="456"/>
      <c r="K14" s="456"/>
      <c r="L14" s="456"/>
    </row>
    <row r="15" customFormat="false" ht="18" hidden="false" customHeight="true" outlineLevel="0" collapsed="false">
      <c r="A15" s="457" t="s">
        <v>764</v>
      </c>
      <c r="B15" s="457"/>
      <c r="C15" s="457"/>
      <c r="D15" s="457"/>
      <c r="E15" s="457"/>
      <c r="F15" s="457"/>
      <c r="G15" s="458" t="s">
        <v>765</v>
      </c>
      <c r="H15" s="458"/>
      <c r="I15" s="458"/>
      <c r="J15" s="458"/>
      <c r="K15" s="458"/>
      <c r="L15" s="458"/>
    </row>
    <row r="16" customFormat="false" ht="18" hidden="false" customHeight="true" outlineLevel="0" collapsed="false">
      <c r="A16" s="459" t="s">
        <v>766</v>
      </c>
      <c r="B16" s="459"/>
      <c r="C16" s="460" t="s">
        <v>767</v>
      </c>
      <c r="D16" s="460"/>
      <c r="E16" s="460"/>
      <c r="F16" s="460"/>
      <c r="G16" s="461" t="s">
        <v>768</v>
      </c>
      <c r="H16" s="461"/>
      <c r="I16" s="461"/>
      <c r="J16" s="460" t="s">
        <v>767</v>
      </c>
      <c r="K16" s="460"/>
      <c r="L16" s="460"/>
    </row>
    <row r="17" customFormat="false" ht="15" hidden="false" customHeight="true" outlineLevel="0" collapsed="false">
      <c r="A17" s="462" t="str">
        <f aca="false">'10-1.직접시공내역서'!A5</f>
        <v>(예시) OO부대 시설물 보수공사</v>
      </c>
      <c r="B17" s="462"/>
      <c r="C17" s="462"/>
      <c r="D17" s="462"/>
      <c r="E17" s="462"/>
      <c r="F17" s="462"/>
      <c r="G17" s="463"/>
      <c r="H17" s="463"/>
      <c r="I17" s="463"/>
      <c r="J17" s="464"/>
      <c r="K17" s="464"/>
      <c r="L17" s="464"/>
      <c r="N17" s="391"/>
    </row>
    <row r="18" customFormat="false" ht="15" hidden="false" customHeight="true" outlineLevel="0" collapsed="false">
      <c r="A18" s="465" t="str">
        <f aca="false">'10-1.직접시공내역서'!A6</f>
        <v>전체</v>
      </c>
      <c r="B18" s="465"/>
      <c r="C18" s="466" t="n">
        <f aca="false">SUM(C19:F24)</f>
        <v>99707299</v>
      </c>
      <c r="D18" s="466"/>
      <c r="E18" s="466"/>
      <c r="F18" s="466"/>
      <c r="G18" s="463"/>
      <c r="H18" s="463"/>
      <c r="I18" s="463"/>
      <c r="J18" s="464"/>
      <c r="K18" s="464"/>
      <c r="L18" s="464"/>
      <c r="N18" s="391"/>
    </row>
    <row r="19" customFormat="false" ht="15" hidden="false" customHeight="true" outlineLevel="0" collapsed="false">
      <c r="A19" s="465" t="str">
        <f aca="false">'10-1.직접시공내역서'!A7</f>
        <v> 1.토  공  사</v>
      </c>
      <c r="B19" s="465"/>
      <c r="C19" s="466" t="n">
        <f aca="false">'10-1.직접시공내역서'!K7</f>
        <v>3320130</v>
      </c>
      <c r="D19" s="466"/>
      <c r="E19" s="466"/>
      <c r="F19" s="466"/>
      <c r="G19" s="463"/>
      <c r="H19" s="463"/>
      <c r="I19" s="463"/>
      <c r="J19" s="464"/>
      <c r="K19" s="464"/>
      <c r="L19" s="464"/>
      <c r="N19" s="391"/>
    </row>
    <row r="20" customFormat="false" ht="15" hidden="false" customHeight="true" outlineLevel="0" collapsed="false">
      <c r="A20" s="465" t="str">
        <f aca="false">'10-1.직접시공내역서'!A8</f>
        <v> 2.철 거 공 사</v>
      </c>
      <c r="B20" s="465"/>
      <c r="C20" s="466" t="n">
        <f aca="false">'10-1.직접시공내역서'!K8</f>
        <v>1622904</v>
      </c>
      <c r="D20" s="466"/>
      <c r="E20" s="466"/>
      <c r="F20" s="466"/>
      <c r="G20" s="463"/>
      <c r="H20" s="463"/>
      <c r="I20" s="463"/>
      <c r="J20" s="464"/>
      <c r="K20" s="464"/>
      <c r="L20" s="464"/>
      <c r="N20" s="391"/>
    </row>
    <row r="21" customFormat="false" ht="15" hidden="false" customHeight="true" outlineLevel="0" collapsed="false">
      <c r="A21" s="465" t="str">
        <f aca="false">'10-1.직접시공내역서'!A9</f>
        <v> 3.우 수 공 사</v>
      </c>
      <c r="B21" s="465"/>
      <c r="C21" s="466" t="n">
        <f aca="false">'10-1.직접시공내역서'!K9</f>
        <v>5354574</v>
      </c>
      <c r="D21" s="466"/>
      <c r="E21" s="466"/>
      <c r="F21" s="466"/>
      <c r="G21" s="463"/>
      <c r="H21" s="463"/>
      <c r="I21" s="463"/>
      <c r="J21" s="464"/>
      <c r="K21" s="464"/>
      <c r="L21" s="464"/>
      <c r="N21" s="391"/>
    </row>
    <row r="22" customFormat="false" ht="15" hidden="false" customHeight="true" outlineLevel="0" collapsed="false">
      <c r="A22" s="465" t="str">
        <f aca="false">'10-1.직접시공내역서'!A10</f>
        <v> 4.포 장 공 사</v>
      </c>
      <c r="B22" s="465"/>
      <c r="C22" s="466" t="n">
        <f aca="false">'10-1.직접시공내역서'!K10</f>
        <v>83626577</v>
      </c>
      <c r="D22" s="466"/>
      <c r="E22" s="466"/>
      <c r="F22" s="466"/>
      <c r="G22" s="467"/>
      <c r="H22" s="467"/>
      <c r="I22" s="467"/>
      <c r="J22" s="468"/>
      <c r="K22" s="468"/>
      <c r="L22" s="468"/>
      <c r="N22" s="391"/>
    </row>
    <row r="23" customFormat="false" ht="15" hidden="false" customHeight="true" outlineLevel="0" collapsed="false">
      <c r="A23" s="465" t="str">
        <f aca="false">'10-1.직접시공내역서'!A11</f>
        <v> 5.구 조 물 공 사</v>
      </c>
      <c r="B23" s="465"/>
      <c r="C23" s="466" t="n">
        <f aca="false">'10-1.직접시공내역서'!K11</f>
        <v>1569854</v>
      </c>
      <c r="D23" s="466"/>
      <c r="E23" s="466"/>
      <c r="F23" s="466"/>
      <c r="G23" s="469"/>
      <c r="H23" s="469"/>
      <c r="I23" s="469"/>
      <c r="J23" s="470"/>
      <c r="K23" s="470"/>
      <c r="L23" s="470"/>
      <c r="N23" s="391"/>
    </row>
    <row r="24" customFormat="false" ht="15" hidden="false" customHeight="true" outlineLevel="0" collapsed="false">
      <c r="A24" s="465" t="str">
        <f aca="false">'10-1.직접시공내역서'!A12</f>
        <v> 6.부 대 공 사</v>
      </c>
      <c r="B24" s="465"/>
      <c r="C24" s="466" t="n">
        <f aca="false">'10-1.직접시공내역서'!K12</f>
        <v>4213260</v>
      </c>
      <c r="D24" s="466"/>
      <c r="E24" s="466"/>
      <c r="F24" s="466"/>
      <c r="G24" s="467"/>
      <c r="H24" s="467"/>
      <c r="I24" s="467"/>
      <c r="J24" s="468"/>
      <c r="K24" s="468"/>
      <c r="L24" s="468"/>
      <c r="N24" s="391"/>
    </row>
    <row r="25" customFormat="false" ht="15" hidden="false" customHeight="true" outlineLevel="0" collapsed="false">
      <c r="A25" s="465" t="str">
        <f aca="false">'10-1.직접시공내역서'!A13</f>
        <v>운 반 비</v>
      </c>
      <c r="B25" s="465"/>
      <c r="C25" s="466" t="n">
        <f aca="false">'10-1.직접시공내역서'!K13</f>
        <v>900000</v>
      </c>
      <c r="D25" s="466"/>
      <c r="E25" s="466"/>
      <c r="F25" s="466"/>
      <c r="G25" s="467"/>
      <c r="H25" s="467"/>
      <c r="I25" s="467"/>
      <c r="J25" s="468"/>
      <c r="K25" s="468"/>
      <c r="L25" s="468"/>
      <c r="N25" s="391"/>
    </row>
    <row r="26" customFormat="false" ht="15" hidden="false" customHeight="true" outlineLevel="0" collapsed="false">
      <c r="A26" s="465" t="str">
        <f aca="false">'10-1.직접시공내역서'!A14</f>
        <v>폐 기 물 처 리 비</v>
      </c>
      <c r="B26" s="465"/>
      <c r="C26" s="466" t="n">
        <f aca="false">'10-1.직접시공내역서'!K14</f>
        <v>750000</v>
      </c>
      <c r="D26" s="466"/>
      <c r="E26" s="466"/>
      <c r="F26" s="466"/>
      <c r="G26" s="467"/>
      <c r="H26" s="467"/>
      <c r="I26" s="467"/>
      <c r="J26" s="468"/>
      <c r="K26" s="468"/>
      <c r="L26" s="468"/>
      <c r="N26" s="391"/>
    </row>
    <row r="27" customFormat="false" ht="15" hidden="false" customHeight="true" outlineLevel="0" collapsed="false">
      <c r="A27" s="465"/>
      <c r="B27" s="465"/>
      <c r="C27" s="466"/>
      <c r="D27" s="466"/>
      <c r="E27" s="466"/>
      <c r="F27" s="466"/>
      <c r="G27" s="467"/>
      <c r="H27" s="467"/>
      <c r="I27" s="467"/>
      <c r="J27" s="468"/>
      <c r="K27" s="468"/>
      <c r="L27" s="468"/>
      <c r="N27" s="391"/>
    </row>
    <row r="28" customFormat="false" ht="15" hidden="false" customHeight="true" outlineLevel="0" collapsed="false">
      <c r="A28" s="465"/>
      <c r="B28" s="465"/>
      <c r="C28" s="466"/>
      <c r="D28" s="466"/>
      <c r="E28" s="466"/>
      <c r="F28" s="466"/>
      <c r="G28" s="467"/>
      <c r="H28" s="467"/>
      <c r="I28" s="467"/>
      <c r="J28" s="468"/>
      <c r="K28" s="468"/>
      <c r="L28" s="468"/>
      <c r="N28" s="391"/>
    </row>
    <row r="29" customFormat="false" ht="15" hidden="false" customHeight="true" outlineLevel="0" collapsed="false">
      <c r="A29" s="465"/>
      <c r="B29" s="465"/>
      <c r="C29" s="466"/>
      <c r="D29" s="466"/>
      <c r="E29" s="466"/>
      <c r="F29" s="466"/>
      <c r="G29" s="467"/>
      <c r="H29" s="467"/>
      <c r="I29" s="467"/>
      <c r="J29" s="468"/>
      <c r="K29" s="468"/>
      <c r="L29" s="468"/>
      <c r="N29" s="391"/>
    </row>
    <row r="30" customFormat="false" ht="15" hidden="false" customHeight="true" outlineLevel="0" collapsed="false">
      <c r="A30" s="465"/>
      <c r="B30" s="465"/>
      <c r="C30" s="466"/>
      <c r="D30" s="466"/>
      <c r="E30" s="466"/>
      <c r="F30" s="466"/>
      <c r="G30" s="467"/>
      <c r="H30" s="467"/>
      <c r="I30" s="467"/>
      <c r="J30" s="468"/>
      <c r="K30" s="468"/>
      <c r="L30" s="468"/>
      <c r="N30" s="391"/>
    </row>
    <row r="31" customFormat="false" ht="15" hidden="false" customHeight="true" outlineLevel="0" collapsed="false">
      <c r="A31" s="465"/>
      <c r="B31" s="465"/>
      <c r="C31" s="466"/>
      <c r="D31" s="466"/>
      <c r="E31" s="466"/>
      <c r="F31" s="466"/>
      <c r="G31" s="467"/>
      <c r="H31" s="467"/>
      <c r="I31" s="467"/>
      <c r="J31" s="468"/>
      <c r="K31" s="468"/>
      <c r="L31" s="468"/>
      <c r="N31" s="391"/>
    </row>
    <row r="32" customFormat="false" ht="15" hidden="false" customHeight="true" outlineLevel="0" collapsed="false">
      <c r="A32" s="465"/>
      <c r="B32" s="465"/>
      <c r="C32" s="466"/>
      <c r="D32" s="466"/>
      <c r="E32" s="466"/>
      <c r="F32" s="466"/>
      <c r="G32" s="467"/>
      <c r="H32" s="467"/>
      <c r="I32" s="467"/>
      <c r="J32" s="468"/>
      <c r="K32" s="468"/>
      <c r="L32" s="468"/>
      <c r="N32" s="391"/>
    </row>
    <row r="33" customFormat="false" ht="15" hidden="false" customHeight="true" outlineLevel="0" collapsed="false">
      <c r="A33" s="465"/>
      <c r="B33" s="465"/>
      <c r="C33" s="466"/>
      <c r="D33" s="466"/>
      <c r="E33" s="466"/>
      <c r="F33" s="466"/>
      <c r="G33" s="467"/>
      <c r="H33" s="467"/>
      <c r="I33" s="467"/>
      <c r="J33" s="468"/>
      <c r="K33" s="468"/>
      <c r="L33" s="468"/>
      <c r="N33" s="391"/>
    </row>
    <row r="34" customFormat="false" ht="15" hidden="false" customHeight="true" outlineLevel="0" collapsed="false">
      <c r="A34" s="465"/>
      <c r="B34" s="465"/>
      <c r="C34" s="466"/>
      <c r="D34" s="466"/>
      <c r="E34" s="466"/>
      <c r="F34" s="466"/>
      <c r="G34" s="467"/>
      <c r="H34" s="467"/>
      <c r="I34" s="467"/>
      <c r="J34" s="468"/>
      <c r="K34" s="468"/>
      <c r="L34" s="468"/>
      <c r="N34" s="391"/>
    </row>
    <row r="35" customFormat="false" ht="15" hidden="false" customHeight="true" outlineLevel="0" collapsed="false">
      <c r="A35" s="465"/>
      <c r="B35" s="465"/>
      <c r="C35" s="466"/>
      <c r="D35" s="466"/>
      <c r="E35" s="466"/>
      <c r="F35" s="466"/>
      <c r="G35" s="467"/>
      <c r="H35" s="467"/>
      <c r="I35" s="467"/>
      <c r="J35" s="468"/>
      <c r="K35" s="468"/>
      <c r="L35" s="468"/>
      <c r="N35" s="391"/>
    </row>
    <row r="36" customFormat="false" ht="15" hidden="false" customHeight="true" outlineLevel="0" collapsed="false">
      <c r="A36" s="465"/>
      <c r="B36" s="465"/>
      <c r="C36" s="466"/>
      <c r="D36" s="466"/>
      <c r="E36" s="466"/>
      <c r="F36" s="466"/>
      <c r="G36" s="467"/>
      <c r="H36" s="467"/>
      <c r="I36" s="467"/>
      <c r="J36" s="468"/>
      <c r="K36" s="468"/>
      <c r="L36" s="468"/>
      <c r="N36" s="391"/>
    </row>
    <row r="37" customFormat="false" ht="15" hidden="false" customHeight="true" outlineLevel="0" collapsed="false">
      <c r="A37" s="465"/>
      <c r="B37" s="465"/>
      <c r="C37" s="466"/>
      <c r="D37" s="466"/>
      <c r="E37" s="466"/>
      <c r="F37" s="466"/>
      <c r="G37" s="467"/>
      <c r="H37" s="467"/>
      <c r="I37" s="467"/>
      <c r="J37" s="468"/>
      <c r="K37" s="468"/>
      <c r="L37" s="468"/>
      <c r="N37" s="391"/>
    </row>
    <row r="38" customFormat="false" ht="18" hidden="false" customHeight="true" outlineLevel="0" collapsed="false">
      <c r="A38" s="471" t="s">
        <v>769</v>
      </c>
      <c r="B38" s="471"/>
      <c r="C38" s="472" t="n">
        <f aca="false">SUM(C18)</f>
        <v>99707299</v>
      </c>
      <c r="D38" s="472"/>
      <c r="E38" s="472"/>
      <c r="F38" s="472"/>
      <c r="G38" s="473" t="s">
        <v>769</v>
      </c>
      <c r="H38" s="473"/>
      <c r="I38" s="473"/>
      <c r="J38" s="474" t="n">
        <f aca="false">SUM(J16:L22)</f>
        <v>0</v>
      </c>
      <c r="K38" s="474"/>
      <c r="L38" s="474"/>
    </row>
    <row r="39" customFormat="false" ht="18" hidden="false" customHeight="true" outlineLevel="0" collapsed="false">
      <c r="A39" s="471" t="s">
        <v>770</v>
      </c>
      <c r="B39" s="471"/>
      <c r="C39" s="472" t="n">
        <v>5070733</v>
      </c>
      <c r="D39" s="472"/>
      <c r="E39" s="472"/>
      <c r="F39" s="472"/>
      <c r="G39" s="473" t="s">
        <v>770</v>
      </c>
      <c r="H39" s="473"/>
      <c r="I39" s="473"/>
      <c r="J39" s="474" t="n">
        <f aca="false">SUM(J17:L22)</f>
        <v>0</v>
      </c>
      <c r="K39" s="474"/>
      <c r="L39" s="474"/>
    </row>
    <row r="40" customFormat="false" ht="18" hidden="false" customHeight="true" outlineLevel="0" collapsed="false">
      <c r="A40" s="475" t="s">
        <v>771</v>
      </c>
      <c r="B40" s="475"/>
      <c r="C40" s="472" t="n">
        <f aca="false">C38+C39</f>
        <v>104778032</v>
      </c>
      <c r="D40" s="472"/>
      <c r="E40" s="472"/>
      <c r="F40" s="472"/>
      <c r="G40" s="473" t="s">
        <v>585</v>
      </c>
      <c r="H40" s="473"/>
      <c r="I40" s="473"/>
      <c r="J40" s="474" t="n">
        <f aca="false">SUM(J17:L22)</f>
        <v>0</v>
      </c>
      <c r="K40" s="474"/>
      <c r="L40" s="474"/>
    </row>
    <row r="41" customFormat="false" ht="5.25" hidden="false" customHeight="true" outlineLevel="0" collapsed="false">
      <c r="A41" s="476"/>
      <c r="B41" s="477"/>
      <c r="C41" s="478"/>
      <c r="D41" s="478"/>
      <c r="E41" s="478"/>
      <c r="F41" s="478"/>
      <c r="G41" s="479"/>
      <c r="H41" s="479"/>
      <c r="I41" s="479"/>
      <c r="J41" s="478"/>
      <c r="K41" s="478"/>
      <c r="L41" s="480"/>
    </row>
    <row r="42" customFormat="false" ht="18" hidden="false" customHeight="true" outlineLevel="0" collapsed="false">
      <c r="A42" s="481" t="s">
        <v>772</v>
      </c>
      <c r="L42" s="482"/>
    </row>
    <row r="43" customFormat="false" ht="6" hidden="false" customHeight="true" outlineLevel="0" collapsed="false">
      <c r="A43" s="481"/>
      <c r="L43" s="482"/>
    </row>
    <row r="44" customFormat="false" ht="18" hidden="false" customHeight="true" outlineLevel="0" collapsed="false">
      <c r="A44" s="483" t="n">
        <f aca="false">공사정보_출력X!C5</f>
        <v>46035</v>
      </c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</row>
    <row r="45" customFormat="false" ht="5.25" hidden="false" customHeight="true" outlineLevel="0" collapsed="false">
      <c r="A45" s="484"/>
      <c r="B45" s="42"/>
      <c r="C45" s="302"/>
      <c r="D45" s="302"/>
      <c r="E45" s="302"/>
      <c r="F45" s="485"/>
      <c r="G45" s="485"/>
      <c r="H45" s="485"/>
      <c r="I45" s="425"/>
      <c r="J45" s="425"/>
      <c r="K45" s="54"/>
      <c r="L45" s="406"/>
    </row>
    <row r="46" customFormat="false" ht="18" hidden="false" customHeight="true" outlineLevel="0" collapsed="false">
      <c r="A46" s="484"/>
      <c r="B46" s="42"/>
      <c r="C46" s="302" t="s">
        <v>773</v>
      </c>
      <c r="D46" s="302"/>
      <c r="E46" s="302"/>
      <c r="F46" s="486" t="str">
        <f aca="false">공사정보_출력X!C6</f>
        <v>주식회사 가상건설</v>
      </c>
      <c r="G46" s="486"/>
      <c r="H46" s="486"/>
      <c r="I46" s="80" t="str">
        <f aca="false">공사정보_출력X!C7</f>
        <v>홍길동</v>
      </c>
      <c r="J46" s="80"/>
      <c r="K46" s="54" t="s">
        <v>76</v>
      </c>
      <c r="L46" s="406"/>
    </row>
    <row r="47" customFormat="false" ht="5.25" hidden="false" customHeight="true" outlineLevel="0" collapsed="false">
      <c r="A47" s="484"/>
      <c r="B47" s="42"/>
      <c r="C47" s="42"/>
      <c r="D47" s="42"/>
      <c r="E47" s="42"/>
      <c r="F47" s="485"/>
      <c r="G47" s="485"/>
      <c r="H47" s="485"/>
      <c r="I47" s="425"/>
      <c r="J47" s="425"/>
      <c r="K47" s="54"/>
      <c r="L47" s="406"/>
    </row>
    <row r="48" s="490" customFormat="true" ht="18" hidden="false" customHeight="true" outlineLevel="0" collapsed="false">
      <c r="A48" s="487" t="str">
        <f aca="false">공사정보_출력X!C8</f>
        <v>OO부대</v>
      </c>
      <c r="B48" s="488"/>
      <c r="C48" s="488"/>
      <c r="D48" s="488"/>
      <c r="E48" s="489" t="s">
        <v>774</v>
      </c>
      <c r="F48" s="488"/>
      <c r="L48" s="491"/>
    </row>
    <row r="49" s="490" customFormat="true" ht="9" hidden="false" customHeight="true" outlineLevel="0" collapsed="false">
      <c r="A49" s="492"/>
      <c r="L49" s="491"/>
    </row>
    <row r="50" customFormat="false" ht="18" hidden="false" customHeight="true" outlineLevel="0" collapsed="false">
      <c r="A50" s="493" t="s">
        <v>775</v>
      </c>
      <c r="B50" s="494" t="s">
        <v>776</v>
      </c>
      <c r="C50" s="494"/>
      <c r="D50" s="494"/>
      <c r="E50" s="494"/>
      <c r="F50" s="494"/>
      <c r="G50" s="494"/>
      <c r="H50" s="494"/>
      <c r="I50" s="494"/>
      <c r="J50" s="494"/>
      <c r="K50" s="494"/>
      <c r="L50" s="495"/>
    </row>
    <row r="51" customFormat="false" ht="18" hidden="false" customHeight="true" outlineLevel="0" collapsed="false">
      <c r="A51" s="496"/>
      <c r="B51" s="497" t="s">
        <v>777</v>
      </c>
      <c r="C51" s="497"/>
      <c r="D51" s="497"/>
      <c r="E51" s="497"/>
      <c r="F51" s="498"/>
      <c r="G51" s="498"/>
      <c r="H51" s="498"/>
      <c r="I51" s="498"/>
      <c r="J51" s="498"/>
      <c r="K51" s="498"/>
      <c r="L51" s="499"/>
    </row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</sheetData>
  <mergeCells count="141">
    <mergeCell ref="A1:L1"/>
    <mergeCell ref="B2:L2"/>
    <mergeCell ref="B3:F3"/>
    <mergeCell ref="G3:H3"/>
    <mergeCell ref="I3:L3"/>
    <mergeCell ref="A4:A5"/>
    <mergeCell ref="C4:H4"/>
    <mergeCell ref="I4:L4"/>
    <mergeCell ref="C5:F5"/>
    <mergeCell ref="G5:H5"/>
    <mergeCell ref="I5:L5"/>
    <mergeCell ref="A6:A7"/>
    <mergeCell ref="C6:F6"/>
    <mergeCell ref="G6:H7"/>
    <mergeCell ref="I6:L7"/>
    <mergeCell ref="C7:F7"/>
    <mergeCell ref="A8:A9"/>
    <mergeCell ref="C8:F8"/>
    <mergeCell ref="G8:H9"/>
    <mergeCell ref="I8:L9"/>
    <mergeCell ref="C9:F9"/>
    <mergeCell ref="B10:L10"/>
    <mergeCell ref="B11:L11"/>
    <mergeCell ref="B12:C12"/>
    <mergeCell ref="E12:F12"/>
    <mergeCell ref="G12:H12"/>
    <mergeCell ref="I12:J12"/>
    <mergeCell ref="K12:L12"/>
    <mergeCell ref="B13:H13"/>
    <mergeCell ref="I13:L13"/>
    <mergeCell ref="A14:L14"/>
    <mergeCell ref="A15:F15"/>
    <mergeCell ref="G15:L15"/>
    <mergeCell ref="A16:B16"/>
    <mergeCell ref="C16:F16"/>
    <mergeCell ref="G16:I16"/>
    <mergeCell ref="J16:L16"/>
    <mergeCell ref="A17:F17"/>
    <mergeCell ref="G17:I17"/>
    <mergeCell ref="J17:L17"/>
    <mergeCell ref="A18:B18"/>
    <mergeCell ref="C18:F18"/>
    <mergeCell ref="G18:I18"/>
    <mergeCell ref="J18:L18"/>
    <mergeCell ref="A19:B19"/>
    <mergeCell ref="C19:F19"/>
    <mergeCell ref="G19:I19"/>
    <mergeCell ref="J19:L19"/>
    <mergeCell ref="A20:B20"/>
    <mergeCell ref="C20:F20"/>
    <mergeCell ref="G20:I20"/>
    <mergeCell ref="J20:L20"/>
    <mergeCell ref="A21:B21"/>
    <mergeCell ref="C21:F21"/>
    <mergeCell ref="G21:I21"/>
    <mergeCell ref="J21:L21"/>
    <mergeCell ref="A22:B22"/>
    <mergeCell ref="C22:F22"/>
    <mergeCell ref="G22:I22"/>
    <mergeCell ref="J22:L22"/>
    <mergeCell ref="A23:B23"/>
    <mergeCell ref="C23:F23"/>
    <mergeCell ref="G23:I23"/>
    <mergeCell ref="J23:L23"/>
    <mergeCell ref="A24:B24"/>
    <mergeCell ref="C24:F24"/>
    <mergeCell ref="G24:I24"/>
    <mergeCell ref="J24:L24"/>
    <mergeCell ref="A25:B25"/>
    <mergeCell ref="C25:F25"/>
    <mergeCell ref="G25:I25"/>
    <mergeCell ref="J25:L25"/>
    <mergeCell ref="A26:B26"/>
    <mergeCell ref="C26:F26"/>
    <mergeCell ref="G26:I26"/>
    <mergeCell ref="J26:L26"/>
    <mergeCell ref="A27:B27"/>
    <mergeCell ref="C27:F27"/>
    <mergeCell ref="G27:I27"/>
    <mergeCell ref="J27:L27"/>
    <mergeCell ref="A28:B28"/>
    <mergeCell ref="C28:F28"/>
    <mergeCell ref="G28:I28"/>
    <mergeCell ref="J28:L28"/>
    <mergeCell ref="A29:B29"/>
    <mergeCell ref="C29:F29"/>
    <mergeCell ref="G29:I29"/>
    <mergeCell ref="J29:L29"/>
    <mergeCell ref="A30:B30"/>
    <mergeCell ref="C30:F30"/>
    <mergeCell ref="G30:I30"/>
    <mergeCell ref="J30:L30"/>
    <mergeCell ref="A31:B31"/>
    <mergeCell ref="C31:F31"/>
    <mergeCell ref="G31:I31"/>
    <mergeCell ref="J31:L31"/>
    <mergeCell ref="A32:B32"/>
    <mergeCell ref="C32:F32"/>
    <mergeCell ref="G32:I32"/>
    <mergeCell ref="J32:L32"/>
    <mergeCell ref="A33:B33"/>
    <mergeCell ref="C33:F33"/>
    <mergeCell ref="G33:I33"/>
    <mergeCell ref="J33:L33"/>
    <mergeCell ref="A34:B34"/>
    <mergeCell ref="C34:F34"/>
    <mergeCell ref="G34:I34"/>
    <mergeCell ref="J34:L34"/>
    <mergeCell ref="A35:B35"/>
    <mergeCell ref="C35:F35"/>
    <mergeCell ref="G35:I35"/>
    <mergeCell ref="J35:L35"/>
    <mergeCell ref="A36:B36"/>
    <mergeCell ref="C36:F36"/>
    <mergeCell ref="G36:I36"/>
    <mergeCell ref="J36:L36"/>
    <mergeCell ref="A37:B37"/>
    <mergeCell ref="C37:F37"/>
    <mergeCell ref="G37:I37"/>
    <mergeCell ref="J37:L37"/>
    <mergeCell ref="A38:B38"/>
    <mergeCell ref="C38:F38"/>
    <mergeCell ref="G38:I38"/>
    <mergeCell ref="J38:L38"/>
    <mergeCell ref="A39:B39"/>
    <mergeCell ref="C39:F39"/>
    <mergeCell ref="G39:I39"/>
    <mergeCell ref="J39:L39"/>
    <mergeCell ref="A40:B40"/>
    <mergeCell ref="C40:F40"/>
    <mergeCell ref="G40:I40"/>
    <mergeCell ref="J40:L40"/>
    <mergeCell ref="A44:L44"/>
    <mergeCell ref="C45:E45"/>
    <mergeCell ref="F45:H45"/>
    <mergeCell ref="I45:J45"/>
    <mergeCell ref="C46:E46"/>
    <mergeCell ref="F46:H46"/>
    <mergeCell ref="I46:J46"/>
    <mergeCell ref="F47:H47"/>
    <mergeCell ref="I47:J47"/>
  </mergeCells>
  <printOptions headings="false" gridLines="false" gridLinesSet="true" horizontalCentered="true" verticalCentered="false"/>
  <pageMargins left="0.511805555555556" right="0.511805555555556" top="0.7875" bottom="0.196527777777778" header="0.511811023622047" footer="0.511811023622047"/>
  <pageSetup paperSize="9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08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I26" activeCellId="0" sqref="BI26"/>
    </sheetView>
  </sheetViews>
  <sheetFormatPr defaultColWidth="8.75" defaultRowHeight="16.5" zeroHeight="false" outlineLevelRow="0" outlineLevelCol="0"/>
  <cols>
    <col collapsed="false" customWidth="true" hidden="false" outlineLevel="0" max="1" min="1" style="381" width="40.63"/>
    <col collapsed="false" customWidth="true" hidden="false" outlineLevel="0" max="2" min="2" style="381" width="20.63"/>
    <col collapsed="false" customWidth="true" hidden="false" outlineLevel="0" max="4" min="3" style="381" width="4.63"/>
    <col collapsed="false" customWidth="true" hidden="true" outlineLevel="0" max="10" min="5" style="381" width="13.63"/>
    <col collapsed="false" customWidth="true" hidden="false" outlineLevel="0" max="15" min="11" style="381" width="13.63"/>
    <col collapsed="false" customWidth="true" hidden="false" outlineLevel="0" max="16" min="16" style="381" width="12.63"/>
    <col collapsed="false" customWidth="true" hidden="true" outlineLevel="0" max="19" min="17" style="381" width="2.63"/>
    <col collapsed="false" customWidth="true" hidden="true" outlineLevel="0" max="22" min="20" style="381" width="1.63"/>
    <col collapsed="false" customWidth="true" hidden="true" outlineLevel="0" max="23" min="23" style="381" width="18.63"/>
    <col collapsed="false" customWidth="false" hidden="false" outlineLevel="0" max="24" min="24" style="381" width="8.75"/>
    <col collapsed="false" customWidth="true" hidden="true" outlineLevel="0" max="25" min="25" style="500" width="18.5"/>
    <col collapsed="false" customWidth="true" hidden="true" outlineLevel="0" max="26" min="26" style="381" width="15"/>
    <col collapsed="false" customWidth="true" hidden="true" outlineLevel="0" max="28" min="27" style="381" width="12.75"/>
    <col collapsed="false" customWidth="true" hidden="true" outlineLevel="0" max="29" min="29" style="381" width="15.38"/>
    <col collapsed="false" customWidth="true" hidden="true" outlineLevel="0" max="30" min="30" style="381" width="18.5"/>
    <col collapsed="false" customWidth="true" hidden="true" outlineLevel="0" max="31" min="31" style="381" width="17.25"/>
    <col collapsed="false" customWidth="true" hidden="true" outlineLevel="0" max="32" min="32" style="381" width="8.63"/>
    <col collapsed="false" customWidth="true" hidden="true" outlineLevel="0" max="33" min="33" style="381" width="12.75"/>
    <col collapsed="false" customWidth="true" hidden="true" outlineLevel="0" max="34" min="34" style="381" width="14.75"/>
    <col collapsed="false" customWidth="true" hidden="true" outlineLevel="0" max="35" min="35" style="381" width="9"/>
    <col collapsed="false" customWidth="true" hidden="true" outlineLevel="0" max="36" min="36" style="381" width="10.5"/>
    <col collapsed="false" customWidth="true" hidden="true" outlineLevel="0" max="37" min="37" style="381" width="18.13"/>
    <col collapsed="false" customWidth="true" hidden="true" outlineLevel="0" max="38" min="38" style="381" width="8.63"/>
    <col collapsed="false" customWidth="true" hidden="true" outlineLevel="0" max="39" min="39" style="381" width="10.5"/>
    <col collapsed="false" customWidth="true" hidden="true" outlineLevel="0" max="40" min="40" style="381" width="12.75"/>
    <col collapsed="false" customWidth="false" hidden="false" outlineLevel="0" max="16384" min="41" style="381" width="8.75"/>
  </cols>
  <sheetData>
    <row r="1" customFormat="false" ht="30" hidden="false" customHeight="true" outlineLevel="0" collapsed="false">
      <c r="A1" s="501" t="s">
        <v>778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2"/>
      <c r="P1" s="502"/>
      <c r="Z1" s="503" t="s">
        <v>779</v>
      </c>
      <c r="AA1" s="503" t="s">
        <v>780</v>
      </c>
      <c r="AB1" s="503" t="s">
        <v>781</v>
      </c>
      <c r="AC1" s="500"/>
      <c r="AD1" s="503" t="s">
        <v>782</v>
      </c>
      <c r="AE1" s="500"/>
      <c r="AF1" s="500"/>
      <c r="AG1" s="500"/>
      <c r="AH1" s="500"/>
      <c r="AI1" s="500"/>
      <c r="AJ1" s="500"/>
      <c r="AK1" s="500"/>
      <c r="AL1" s="500"/>
    </row>
    <row r="2" customFormat="false" ht="30" hidden="false" customHeight="true" outlineLevel="0" collapsed="false">
      <c r="A2" s="504" t="str">
        <f aca="false">"공사명: "&amp;공사정보_출력X!C2</f>
        <v>공사명: (예시) OO부대 시설물 보수공사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6"/>
      <c r="Y2" s="503" t="s">
        <v>783</v>
      </c>
      <c r="Z2" s="507" t="n">
        <v>83514937</v>
      </c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</row>
    <row r="3" customFormat="false" ht="30" hidden="false" customHeight="true" outlineLevel="0" collapsed="false">
      <c r="A3" s="508" t="s">
        <v>784</v>
      </c>
      <c r="B3" s="508" t="s">
        <v>785</v>
      </c>
      <c r="C3" s="508" t="s">
        <v>786</v>
      </c>
      <c r="D3" s="508" t="s">
        <v>732</v>
      </c>
      <c r="E3" s="508" t="s">
        <v>787</v>
      </c>
      <c r="F3" s="508"/>
      <c r="G3" s="508" t="s">
        <v>788</v>
      </c>
      <c r="H3" s="508"/>
      <c r="I3" s="508" t="s">
        <v>789</v>
      </c>
      <c r="J3" s="508"/>
      <c r="K3" s="508" t="s">
        <v>790</v>
      </c>
      <c r="L3" s="508" t="s">
        <v>791</v>
      </c>
      <c r="M3" s="508" t="s">
        <v>792</v>
      </c>
      <c r="N3" s="508"/>
      <c r="O3" s="508" t="s">
        <v>793</v>
      </c>
      <c r="P3" s="508" t="s">
        <v>794</v>
      </c>
      <c r="Q3" s="509" t="s">
        <v>795</v>
      </c>
      <c r="R3" s="509" t="s">
        <v>796</v>
      </c>
      <c r="S3" s="509" t="s">
        <v>797</v>
      </c>
      <c r="T3" s="509" t="s">
        <v>798</v>
      </c>
      <c r="U3" s="509" t="s">
        <v>799</v>
      </c>
      <c r="V3" s="509" t="s">
        <v>800</v>
      </c>
      <c r="W3" s="509" t="s">
        <v>801</v>
      </c>
      <c r="Y3" s="503" t="s">
        <v>802</v>
      </c>
      <c r="Z3" s="507" t="n">
        <v>136361772</v>
      </c>
      <c r="AA3" s="507" t="n">
        <v>28648217</v>
      </c>
      <c r="AB3" s="507" t="n">
        <v>22999200</v>
      </c>
      <c r="AC3" s="500"/>
      <c r="AD3" s="507" t="n">
        <f aca="false">SUM(Z3:AB3)</f>
        <v>188009189</v>
      </c>
      <c r="AE3" s="500"/>
      <c r="AF3" s="500"/>
      <c r="AG3" s="500"/>
      <c r="AH3" s="500"/>
      <c r="AI3" s="500"/>
      <c r="AJ3" s="500"/>
      <c r="AK3" s="500"/>
      <c r="AL3" s="500"/>
    </row>
    <row r="4" customFormat="false" ht="30" hidden="false" customHeight="true" outlineLevel="0" collapsed="false">
      <c r="A4" s="508"/>
      <c r="B4" s="508"/>
      <c r="C4" s="508"/>
      <c r="D4" s="508"/>
      <c r="E4" s="510" t="s">
        <v>803</v>
      </c>
      <c r="F4" s="510" t="s">
        <v>804</v>
      </c>
      <c r="G4" s="510" t="s">
        <v>803</v>
      </c>
      <c r="H4" s="510" t="s">
        <v>804</v>
      </c>
      <c r="I4" s="510" t="s">
        <v>803</v>
      </c>
      <c r="J4" s="510" t="s">
        <v>804</v>
      </c>
      <c r="K4" s="510" t="s">
        <v>804</v>
      </c>
      <c r="L4" s="510" t="s">
        <v>804</v>
      </c>
      <c r="M4" s="510" t="s">
        <v>803</v>
      </c>
      <c r="N4" s="510" t="s">
        <v>804</v>
      </c>
      <c r="O4" s="508"/>
      <c r="P4" s="508"/>
      <c r="Q4" s="509"/>
      <c r="R4" s="509"/>
      <c r="S4" s="509"/>
      <c r="T4" s="509"/>
      <c r="U4" s="509"/>
      <c r="V4" s="509"/>
      <c r="W4" s="509"/>
      <c r="Y4" s="511" t="s">
        <v>128</v>
      </c>
      <c r="Z4" s="511" t="s">
        <v>783</v>
      </c>
      <c r="AA4" s="512" t="s">
        <v>128</v>
      </c>
      <c r="AB4" s="512" t="s">
        <v>805</v>
      </c>
      <c r="AC4" s="512" t="s">
        <v>806</v>
      </c>
      <c r="AD4" s="512" t="s">
        <v>807</v>
      </c>
      <c r="AE4" s="512" t="s">
        <v>808</v>
      </c>
      <c r="AF4" s="512" t="s">
        <v>809</v>
      </c>
      <c r="AG4" s="512" t="s">
        <v>810</v>
      </c>
      <c r="AH4" s="513" t="s">
        <v>811</v>
      </c>
      <c r="AI4" s="512" t="s">
        <v>812</v>
      </c>
      <c r="AJ4" s="512" t="s">
        <v>813</v>
      </c>
      <c r="AK4" s="512" t="s">
        <v>814</v>
      </c>
      <c r="AL4" s="512" t="s">
        <v>815</v>
      </c>
      <c r="AM4" s="512" t="s">
        <v>816</v>
      </c>
      <c r="AN4" s="514" t="s">
        <v>817</v>
      </c>
    </row>
    <row r="5" customFormat="false" ht="30" hidden="false" customHeight="true" outlineLevel="0" collapsed="false">
      <c r="A5" s="515" t="str">
        <f aca="false">공사정보_출력X!C2</f>
        <v>(예시) OO부대 시설물 보수공사</v>
      </c>
      <c r="B5" s="515"/>
      <c r="C5" s="515"/>
      <c r="D5" s="515" t="n">
        <v>1</v>
      </c>
      <c r="E5" s="516" t="n">
        <f aca="false">E6</f>
        <v>63030677</v>
      </c>
      <c r="F5" s="516" t="n">
        <f aca="false">E5*D5</f>
        <v>63030677</v>
      </c>
      <c r="G5" s="516" t="n">
        <f aca="false">G6</f>
        <v>30731719</v>
      </c>
      <c r="H5" s="516" t="n">
        <f aca="false">G5*D5</f>
        <v>30731719</v>
      </c>
      <c r="I5" s="516" t="n">
        <f aca="false">I6</f>
        <v>5944903</v>
      </c>
      <c r="J5" s="516" t="n">
        <f aca="false">I5*D5</f>
        <v>5944903</v>
      </c>
      <c r="K5" s="516" t="n">
        <f aca="false">E5+G5+I5</f>
        <v>99707299</v>
      </c>
      <c r="L5" s="516" t="n">
        <f aca="false">F5+H5+J5</f>
        <v>99707299</v>
      </c>
      <c r="M5" s="516"/>
      <c r="N5" s="516"/>
      <c r="O5" s="516"/>
      <c r="P5" s="515"/>
      <c r="Q5" s="381" t="s">
        <v>818</v>
      </c>
      <c r="U5" s="381" t="n">
        <v>1</v>
      </c>
      <c r="W5" s="517"/>
      <c r="Y5" s="518" t="n">
        <f aca="false">Z3/Z2</f>
        <v>1.63278303137557</v>
      </c>
      <c r="Z5" s="519" t="e">
        <f aca="false">SUM(Z6:Z129)</f>
        <v>#REF!</v>
      </c>
      <c r="AA5" s="520" t="s">
        <v>783</v>
      </c>
      <c r="AB5" s="521" t="n">
        <f aca="false">AB3</f>
        <v>22999200</v>
      </c>
      <c r="AC5" s="521" t="e">
        <f aca="false">SUMIF($Y$6:$Z$126,AC4,$Z$6:$Z$126)</f>
        <v>#REF!</v>
      </c>
      <c r="AD5" s="521" t="n">
        <f aca="false">SUMIF($Y$6:$Z$126,AD4,$Z$6:$Z$126)</f>
        <v>0</v>
      </c>
      <c r="AE5" s="521" t="e">
        <f aca="false">SUMIF($Y$6:$Z$126,AE4,$Z$6:$Z$126)</f>
        <v>#REF!</v>
      </c>
      <c r="AF5" s="521" t="n">
        <f aca="false">SUMIF($Y$6:$Z$126,AF4,$Z$6:$Z$126)</f>
        <v>0</v>
      </c>
      <c r="AG5" s="521" t="e">
        <f aca="false">SUMIF($Y$6:$Z$126,AG4,$Z$6:$Z$126)</f>
        <v>#REF!</v>
      </c>
      <c r="AH5" s="521" t="n">
        <f aca="false">SUMIF($Y$6:$Z$126,AH4,$Z$6:$Z$126)</f>
        <v>0</v>
      </c>
      <c r="AI5" s="521" t="n">
        <f aca="false">SUMIF($Y$6:$Z$126,AI4,$Z$6:$Z$126)</f>
        <v>0</v>
      </c>
      <c r="AJ5" s="521" t="n">
        <f aca="false">SUMIF($Y$6:$Z$126,AJ4,$Z$6:$Z$126)</f>
        <v>0</v>
      </c>
      <c r="AK5" s="521" t="n">
        <f aca="false">AA3</f>
        <v>28648217</v>
      </c>
      <c r="AL5" s="521" t="n">
        <f aca="false">SUMIF($Y$6:$Z$126,AL4,$Z$6:$Z$126)</f>
        <v>0</v>
      </c>
      <c r="AM5" s="521" t="n">
        <f aca="false">SUMIF($Y$6:$Z$126,AM4,$Z$6:$Z$126)</f>
        <v>0</v>
      </c>
      <c r="AN5" s="522" t="e">
        <f aca="false">SUM(AB5:AM5)</f>
        <v>#REF!</v>
      </c>
    </row>
    <row r="6" s="525" customFormat="true" ht="30" hidden="false" customHeight="true" outlineLevel="0" collapsed="false">
      <c r="A6" s="523" t="s">
        <v>819</v>
      </c>
      <c r="B6" s="523"/>
      <c r="C6" s="523"/>
      <c r="D6" s="523" t="n">
        <v>1</v>
      </c>
      <c r="E6" s="524" t="n">
        <f aca="false">F7+F8+F9+F10+F11+F12</f>
        <v>63030677</v>
      </c>
      <c r="F6" s="524" t="n">
        <f aca="false">E6*D6</f>
        <v>63030677</v>
      </c>
      <c r="G6" s="524" t="n">
        <f aca="false">H7+H8+H9+H10+H11+H12</f>
        <v>30731719</v>
      </c>
      <c r="H6" s="524" t="n">
        <f aca="false">G6*D6</f>
        <v>30731719</v>
      </c>
      <c r="I6" s="524" t="n">
        <f aca="false">J7+J8+J9+J10+J11+J12</f>
        <v>5944903</v>
      </c>
      <c r="J6" s="524" t="n">
        <f aca="false">I6*D6</f>
        <v>5944903</v>
      </c>
      <c r="K6" s="524" t="n">
        <f aca="false">E6+G6+I6</f>
        <v>99707299</v>
      </c>
      <c r="L6" s="524" t="n">
        <f aca="false">F6+H6+J6</f>
        <v>99707299</v>
      </c>
      <c r="M6" s="524"/>
      <c r="N6" s="524"/>
      <c r="O6" s="524"/>
      <c r="P6" s="523"/>
      <c r="Q6" s="525" t="s">
        <v>820</v>
      </c>
      <c r="S6" s="525" t="s">
        <v>821</v>
      </c>
      <c r="U6" s="525" t="n">
        <v>4</v>
      </c>
      <c r="W6" s="526"/>
      <c r="Y6" s="527"/>
      <c r="Z6" s="507"/>
      <c r="AA6" s="528" t="s">
        <v>822</v>
      </c>
      <c r="AB6" s="529" t="str">
        <f aca="false">IF(15000000&lt;AB5,"O","X")</f>
        <v>O</v>
      </c>
      <c r="AC6" s="529" t="e">
        <f aca="false">IF(15000000&lt;AC5,"O","X")</f>
        <v>#REF!</v>
      </c>
      <c r="AD6" s="529" t="str">
        <f aca="false">IF(15000000&lt;AD5,"O","X")</f>
        <v>X</v>
      </c>
      <c r="AE6" s="529" t="e">
        <f aca="false">IF(15000000&lt;AE5,"O","X")</f>
        <v>#REF!</v>
      </c>
      <c r="AF6" s="529" t="str">
        <f aca="false">IF(15000000&lt;AF5,"O","X")</f>
        <v>X</v>
      </c>
      <c r="AG6" s="529" t="e">
        <f aca="false">IF(15000000&lt;AG5,"O","X")</f>
        <v>#REF!</v>
      </c>
      <c r="AH6" s="529" t="str">
        <f aca="false">IF(15000000&lt;AH5,"O","X")</f>
        <v>X</v>
      </c>
      <c r="AI6" s="529" t="str">
        <f aca="false">IF(15000000&lt;AI5,"O","X")</f>
        <v>X</v>
      </c>
      <c r="AJ6" s="529" t="str">
        <f aca="false">IF(15000000&lt;AJ5,"O","X")</f>
        <v>X</v>
      </c>
      <c r="AK6" s="529" t="str">
        <f aca="false">IF(15000000&lt;AK5,"O","X")</f>
        <v>O</v>
      </c>
      <c r="AL6" s="529" t="str">
        <f aca="false">IF(15000000&lt;AL5,"O","X")</f>
        <v>X</v>
      </c>
      <c r="AM6" s="529" t="str">
        <f aca="false">IF(15000000&lt;AM5,"O","X")</f>
        <v>X</v>
      </c>
      <c r="AN6" s="530"/>
    </row>
    <row r="7" customFormat="false" ht="30" hidden="false" customHeight="true" outlineLevel="0" collapsed="false">
      <c r="A7" s="515" t="s">
        <v>823</v>
      </c>
      <c r="B7" s="515"/>
      <c r="C7" s="515"/>
      <c r="D7" s="515" t="n">
        <v>1</v>
      </c>
      <c r="E7" s="516" t="n">
        <v>1036013</v>
      </c>
      <c r="F7" s="516" t="n">
        <f aca="false">E7*D7</f>
        <v>1036013</v>
      </c>
      <c r="G7" s="516" t="n">
        <v>1808354</v>
      </c>
      <c r="H7" s="516" t="n">
        <f aca="false">G7*D7</f>
        <v>1808354</v>
      </c>
      <c r="I7" s="516" t="n">
        <v>475763</v>
      </c>
      <c r="J7" s="516" t="n">
        <f aca="false">I7*D7</f>
        <v>475763</v>
      </c>
      <c r="K7" s="516" t="n">
        <f aca="false">E7+G7+I7</f>
        <v>3320130</v>
      </c>
      <c r="L7" s="516" t="n">
        <f aca="false">F7+H7+J7</f>
        <v>3320130</v>
      </c>
      <c r="M7" s="516"/>
      <c r="N7" s="516"/>
      <c r="O7" s="516"/>
      <c r="P7" s="515"/>
      <c r="Q7" s="381" t="s">
        <v>824</v>
      </c>
      <c r="S7" s="381" t="s">
        <v>820</v>
      </c>
      <c r="U7" s="381" t="n">
        <v>5</v>
      </c>
      <c r="W7" s="517"/>
      <c r="Y7" s="527" t="str">
        <f aca="false">AC4</f>
        <v>실내건축</v>
      </c>
      <c r="Z7" s="507" t="e">
        <f aca="false">#REF!*$Y$5</f>
        <v>#REF!</v>
      </c>
    </row>
    <row r="8" customFormat="false" ht="30" hidden="false" customHeight="true" outlineLevel="0" collapsed="false">
      <c r="A8" s="515" t="s">
        <v>825</v>
      </c>
      <c r="B8" s="515"/>
      <c r="C8" s="515"/>
      <c r="D8" s="515" t="n">
        <v>1</v>
      </c>
      <c r="E8" s="516" t="n">
        <v>114769</v>
      </c>
      <c r="F8" s="516" t="n">
        <f aca="false">E8*D8</f>
        <v>114769</v>
      </c>
      <c r="G8" s="516" t="n">
        <v>1309941</v>
      </c>
      <c r="H8" s="516" t="n">
        <f aca="false">G8*D8</f>
        <v>1309941</v>
      </c>
      <c r="I8" s="516" t="n">
        <v>198194</v>
      </c>
      <c r="J8" s="516" t="n">
        <f aca="false">I8*D8</f>
        <v>198194</v>
      </c>
      <c r="K8" s="516" t="n">
        <f aca="false">E8+G8+I8</f>
        <v>1622904</v>
      </c>
      <c r="L8" s="516" t="n">
        <f aca="false">F8+H8+J8</f>
        <v>1622904</v>
      </c>
      <c r="M8" s="516"/>
      <c r="N8" s="516"/>
      <c r="O8" s="516"/>
      <c r="P8" s="515"/>
      <c r="Q8" s="381" t="s">
        <v>826</v>
      </c>
      <c r="S8" s="381" t="s">
        <v>820</v>
      </c>
      <c r="U8" s="381" t="n">
        <v>5</v>
      </c>
      <c r="W8" s="517"/>
      <c r="Y8" s="527" t="str">
        <f aca="false">AG4</f>
        <v>철근·콘크리트</v>
      </c>
      <c r="Z8" s="507" t="e">
        <f aca="false">#REF!*$Y$5</f>
        <v>#REF!</v>
      </c>
    </row>
    <row r="9" customFormat="false" ht="30" hidden="false" customHeight="true" outlineLevel="0" collapsed="false">
      <c r="A9" s="515" t="s">
        <v>827</v>
      </c>
      <c r="B9" s="515"/>
      <c r="C9" s="515"/>
      <c r="D9" s="515" t="n">
        <v>1</v>
      </c>
      <c r="E9" s="516" t="n">
        <v>3514058</v>
      </c>
      <c r="F9" s="516" t="n">
        <f aca="false">E9*D9</f>
        <v>3514058</v>
      </c>
      <c r="G9" s="516" t="n">
        <v>1707261</v>
      </c>
      <c r="H9" s="516" t="n">
        <f aca="false">G9*D9</f>
        <v>1707261</v>
      </c>
      <c r="I9" s="516" t="n">
        <v>133255</v>
      </c>
      <c r="J9" s="516" t="n">
        <f aca="false">I9*D9</f>
        <v>133255</v>
      </c>
      <c r="K9" s="516" t="n">
        <f aca="false">E9+G9+I9</f>
        <v>5354574</v>
      </c>
      <c r="L9" s="516" t="n">
        <f aca="false">F9+H9+J9</f>
        <v>5354574</v>
      </c>
      <c r="M9" s="516"/>
      <c r="N9" s="516"/>
      <c r="O9" s="516"/>
      <c r="P9" s="515"/>
      <c r="Q9" s="381" t="s">
        <v>828</v>
      </c>
      <c r="S9" s="381" t="s">
        <v>820</v>
      </c>
      <c r="U9" s="381" t="n">
        <v>5</v>
      </c>
      <c r="W9" s="517"/>
      <c r="Y9" s="527" t="str">
        <f aca="false">AE4</f>
        <v>도장·습식·방수·석공</v>
      </c>
      <c r="Z9" s="507" t="e">
        <f aca="false">#REF!*$Y$5</f>
        <v>#REF!</v>
      </c>
    </row>
    <row r="10" customFormat="false" ht="30" hidden="false" customHeight="true" outlineLevel="0" collapsed="false">
      <c r="A10" s="515" t="s">
        <v>829</v>
      </c>
      <c r="B10" s="515"/>
      <c r="C10" s="515"/>
      <c r="D10" s="515" t="n">
        <v>1</v>
      </c>
      <c r="E10" s="516" t="n">
        <v>57955507</v>
      </c>
      <c r="F10" s="516" t="n">
        <f aca="false">E10*D10</f>
        <v>57955507</v>
      </c>
      <c r="G10" s="516" t="n">
        <v>23899331</v>
      </c>
      <c r="H10" s="516" t="n">
        <f aca="false">G10*D10</f>
        <v>23899331</v>
      </c>
      <c r="I10" s="516" t="n">
        <v>1771739</v>
      </c>
      <c r="J10" s="516" t="n">
        <f aca="false">I10*D10</f>
        <v>1771739</v>
      </c>
      <c r="K10" s="516" t="n">
        <f aca="false">E10+G10+I10</f>
        <v>83626577</v>
      </c>
      <c r="L10" s="516" t="n">
        <f aca="false">F10+H10+J10</f>
        <v>83626577</v>
      </c>
      <c r="M10" s="516"/>
      <c r="N10" s="516"/>
      <c r="O10" s="516"/>
      <c r="P10" s="515"/>
      <c r="Q10" s="381" t="s">
        <v>830</v>
      </c>
      <c r="S10" s="381" t="s">
        <v>820</v>
      </c>
      <c r="U10" s="381" t="n">
        <v>5</v>
      </c>
      <c r="W10" s="517"/>
      <c r="Y10" s="527" t="str">
        <f aca="false">AE4</f>
        <v>도장·습식·방수·석공</v>
      </c>
      <c r="Z10" s="507" t="e">
        <f aca="false">#REF!*$Y$5</f>
        <v>#REF!</v>
      </c>
      <c r="AA10" s="507"/>
    </row>
    <row r="11" customFormat="false" ht="30" hidden="false" customHeight="true" outlineLevel="0" collapsed="false">
      <c r="A11" s="515" t="s">
        <v>831</v>
      </c>
      <c r="B11" s="515"/>
      <c r="C11" s="515"/>
      <c r="D11" s="515" t="n">
        <v>1</v>
      </c>
      <c r="E11" s="516" t="n">
        <v>308126</v>
      </c>
      <c r="F11" s="516" t="n">
        <f aca="false">E11*D11</f>
        <v>308126</v>
      </c>
      <c r="G11" s="516" t="n">
        <v>1140906</v>
      </c>
      <c r="H11" s="516" t="n">
        <f aca="false">G11*D11</f>
        <v>1140906</v>
      </c>
      <c r="I11" s="516" t="n">
        <v>120822</v>
      </c>
      <c r="J11" s="516" t="n">
        <f aca="false">I11*D11</f>
        <v>120822</v>
      </c>
      <c r="K11" s="516" t="n">
        <f aca="false">E11+G11+I11</f>
        <v>1569854</v>
      </c>
      <c r="L11" s="516" t="n">
        <f aca="false">F11+H11+J11</f>
        <v>1569854</v>
      </c>
      <c r="M11" s="516"/>
      <c r="N11" s="516"/>
      <c r="O11" s="516"/>
      <c r="P11" s="515"/>
      <c r="Q11" s="381" t="s">
        <v>832</v>
      </c>
      <c r="S11" s="381" t="s">
        <v>820</v>
      </c>
      <c r="U11" s="381" t="n">
        <v>5</v>
      </c>
      <c r="W11" s="517"/>
      <c r="Y11" s="527" t="str">
        <f aca="false">AC4</f>
        <v>실내건축</v>
      </c>
      <c r="Z11" s="507" t="e">
        <f aca="false">#REF!*$Y$5</f>
        <v>#REF!</v>
      </c>
    </row>
    <row r="12" customFormat="false" ht="30" hidden="false" customHeight="true" outlineLevel="0" collapsed="false">
      <c r="A12" s="515" t="s">
        <v>833</v>
      </c>
      <c r="B12" s="515"/>
      <c r="C12" s="515"/>
      <c r="D12" s="515" t="n">
        <v>1</v>
      </c>
      <c r="E12" s="516" t="n">
        <v>102204</v>
      </c>
      <c r="F12" s="516" t="n">
        <f aca="false">E12*D12</f>
        <v>102204</v>
      </c>
      <c r="G12" s="516" t="n">
        <v>865926</v>
      </c>
      <c r="H12" s="516" t="n">
        <f aca="false">G12*D12</f>
        <v>865926</v>
      </c>
      <c r="I12" s="516" t="n">
        <v>3245130</v>
      </c>
      <c r="J12" s="516" t="n">
        <f aca="false">I12*D12</f>
        <v>3245130</v>
      </c>
      <c r="K12" s="516" t="n">
        <f aca="false">E12+G12+I12</f>
        <v>4213260</v>
      </c>
      <c r="L12" s="516" t="n">
        <f aca="false">F12+H12+J12</f>
        <v>4213260</v>
      </c>
      <c r="M12" s="516"/>
      <c r="N12" s="516"/>
      <c r="O12" s="516"/>
      <c r="P12" s="515"/>
      <c r="Q12" s="381" t="s">
        <v>834</v>
      </c>
      <c r="S12" s="381" t="s">
        <v>820</v>
      </c>
      <c r="U12" s="381" t="n">
        <v>5</v>
      </c>
      <c r="W12" s="517"/>
      <c r="Y12" s="527" t="str">
        <f aca="false">AE4</f>
        <v>도장·습식·방수·석공</v>
      </c>
      <c r="Z12" s="507" t="e">
        <f aca="false">#REF!*$Y$5</f>
        <v>#REF!</v>
      </c>
    </row>
    <row r="13" s="533" customFormat="true" ht="30" hidden="false" customHeight="true" outlineLevel="0" collapsed="false">
      <c r="A13" s="531" t="s">
        <v>835</v>
      </c>
      <c r="B13" s="531"/>
      <c r="C13" s="531"/>
      <c r="D13" s="531" t="n">
        <v>1</v>
      </c>
      <c r="E13" s="532" t="n">
        <v>500000</v>
      </c>
      <c r="F13" s="532" t="n">
        <f aca="false">E13*D13</f>
        <v>500000</v>
      </c>
      <c r="G13" s="532" t="n">
        <v>300000</v>
      </c>
      <c r="H13" s="532" t="n">
        <f aca="false">G13*D13</f>
        <v>300000</v>
      </c>
      <c r="I13" s="532" t="n">
        <v>100000</v>
      </c>
      <c r="J13" s="532" t="n">
        <f aca="false">I13*D13</f>
        <v>100000</v>
      </c>
      <c r="K13" s="532" t="n">
        <f aca="false">E13+G13+I13</f>
        <v>900000</v>
      </c>
      <c r="L13" s="532" t="n">
        <f aca="false">F13+H13+J13</f>
        <v>900000</v>
      </c>
      <c r="M13" s="532"/>
      <c r="N13" s="532"/>
      <c r="O13" s="532"/>
      <c r="P13" s="531"/>
      <c r="Q13" s="533" t="s">
        <v>836</v>
      </c>
      <c r="T13" s="533" t="s">
        <v>837</v>
      </c>
      <c r="U13" s="533" t="n">
        <v>2</v>
      </c>
      <c r="W13" s="534" t="e">
        <f aca="false">#REF!*1</f>
        <v>#REF!</v>
      </c>
      <c r="Y13" s="500"/>
      <c r="Z13" s="507"/>
      <c r="AA13" s="381"/>
      <c r="AB13" s="381"/>
      <c r="AC13" s="381"/>
      <c r="AD13" s="381"/>
      <c r="AE13" s="381"/>
      <c r="AF13" s="381"/>
      <c r="AG13" s="381"/>
      <c r="AH13" s="381"/>
      <c r="AI13" s="381"/>
      <c r="AJ13" s="381"/>
      <c r="AK13" s="381"/>
      <c r="AL13" s="381"/>
      <c r="AM13" s="381"/>
      <c r="AN13" s="381"/>
    </row>
    <row r="14" s="537" customFormat="true" ht="30" hidden="false" customHeight="true" outlineLevel="0" collapsed="false">
      <c r="A14" s="535" t="s">
        <v>838</v>
      </c>
      <c r="B14" s="535"/>
      <c r="C14" s="535"/>
      <c r="D14" s="535" t="n">
        <v>1</v>
      </c>
      <c r="E14" s="536" t="n">
        <v>200000</v>
      </c>
      <c r="F14" s="536" t="n">
        <f aca="false">E14*D14</f>
        <v>200000</v>
      </c>
      <c r="G14" s="536" t="n">
        <v>150000</v>
      </c>
      <c r="H14" s="536" t="n">
        <f aca="false">G14*D14</f>
        <v>150000</v>
      </c>
      <c r="I14" s="536" t="n">
        <v>400000</v>
      </c>
      <c r="J14" s="536" t="n">
        <f aca="false">I14*D14</f>
        <v>400000</v>
      </c>
      <c r="K14" s="536" t="n">
        <f aca="false">E14+G14+I14</f>
        <v>750000</v>
      </c>
      <c r="L14" s="536" t="n">
        <f aca="false">F14+H14+J14</f>
        <v>750000</v>
      </c>
      <c r="M14" s="536"/>
      <c r="N14" s="536"/>
      <c r="O14" s="536"/>
      <c r="P14" s="535"/>
      <c r="Q14" s="537" t="s">
        <v>839</v>
      </c>
      <c r="T14" s="537" t="s">
        <v>837</v>
      </c>
      <c r="U14" s="537" t="n">
        <v>2</v>
      </c>
      <c r="W14" s="538" t="e">
        <f aca="false">#REF!*1</f>
        <v>#REF!</v>
      </c>
      <c r="Y14" s="500"/>
      <c r="Z14" s="507"/>
      <c r="AA14" s="381"/>
      <c r="AB14" s="381"/>
      <c r="AC14" s="381"/>
      <c r="AD14" s="381"/>
      <c r="AE14" s="381"/>
      <c r="AF14" s="381"/>
      <c r="AG14" s="381"/>
      <c r="AH14" s="381"/>
      <c r="AI14" s="381"/>
      <c r="AJ14" s="381"/>
      <c r="AK14" s="381"/>
      <c r="AL14" s="381"/>
      <c r="AM14" s="381"/>
      <c r="AN14" s="381"/>
    </row>
    <row r="15" customFormat="false" ht="30" hidden="false" customHeight="true" outlineLevel="0" collapsed="false">
      <c r="A15" s="515"/>
      <c r="B15" s="515"/>
      <c r="C15" s="515"/>
      <c r="D15" s="515"/>
      <c r="E15" s="515"/>
      <c r="F15" s="515"/>
      <c r="G15" s="515"/>
      <c r="H15" s="515"/>
      <c r="I15" s="515"/>
      <c r="J15" s="515"/>
      <c r="K15" s="515"/>
      <c r="L15" s="515"/>
      <c r="M15" s="515"/>
      <c r="N15" s="515"/>
      <c r="O15" s="515"/>
      <c r="P15" s="515"/>
      <c r="W15" s="517"/>
      <c r="Z15" s="507"/>
    </row>
    <row r="16" customFormat="false" ht="30" hidden="false" customHeight="true" outlineLevel="0" collapsed="false">
      <c r="A16" s="515"/>
      <c r="B16" s="515"/>
      <c r="C16" s="515"/>
      <c r="D16" s="515"/>
      <c r="E16" s="515"/>
      <c r="F16" s="515"/>
      <c r="G16" s="515"/>
      <c r="H16" s="515"/>
      <c r="I16" s="515"/>
      <c r="J16" s="515"/>
      <c r="K16" s="515"/>
      <c r="L16" s="515"/>
      <c r="M16" s="515"/>
      <c r="N16" s="515"/>
      <c r="O16" s="515"/>
      <c r="P16" s="515"/>
      <c r="W16" s="517"/>
      <c r="Z16" s="507"/>
    </row>
    <row r="17" customFormat="false" ht="30" hidden="false" customHeight="true" outlineLevel="0" collapsed="false">
      <c r="A17" s="515" t="s">
        <v>840</v>
      </c>
      <c r="B17" s="515"/>
      <c r="C17" s="515"/>
      <c r="D17" s="515"/>
      <c r="E17" s="515"/>
      <c r="F17" s="516" t="n">
        <f aca="false">F5</f>
        <v>63030677</v>
      </c>
      <c r="G17" s="515"/>
      <c r="H17" s="516" t="n">
        <f aca="false">H5</f>
        <v>30731719</v>
      </c>
      <c r="I17" s="515"/>
      <c r="J17" s="516" t="n">
        <f aca="false">J5</f>
        <v>5944903</v>
      </c>
      <c r="K17" s="516" t="n">
        <f aca="false">K5</f>
        <v>99707299</v>
      </c>
      <c r="L17" s="516" t="n">
        <f aca="false">L5</f>
        <v>99707299</v>
      </c>
      <c r="M17" s="515"/>
      <c r="N17" s="516"/>
      <c r="O17" s="516"/>
      <c r="P17" s="515"/>
      <c r="W17" s="517"/>
      <c r="Z17" s="507"/>
    </row>
    <row r="18" customFormat="false" ht="16.5" hidden="false" customHeight="true" outlineLevel="0" collapsed="false">
      <c r="Z18" s="507"/>
    </row>
    <row r="19" customFormat="false" ht="16.5" hidden="false" customHeight="true" outlineLevel="0" collapsed="false">
      <c r="Z19" s="507"/>
    </row>
    <row r="20" customFormat="false" ht="16.5" hidden="false" customHeight="true" outlineLevel="0" collapsed="false">
      <c r="Z20" s="507"/>
    </row>
    <row r="21" customFormat="false" ht="16.5" hidden="false" customHeight="true" outlineLevel="0" collapsed="false">
      <c r="Z21" s="507"/>
    </row>
    <row r="22" customFormat="false" ht="16.5" hidden="false" customHeight="true" outlineLevel="0" collapsed="false">
      <c r="Z22" s="507"/>
    </row>
    <row r="23" customFormat="false" ht="16.5" hidden="false" customHeight="true" outlineLevel="0" collapsed="false">
      <c r="Z23" s="507"/>
    </row>
    <row r="24" customFormat="false" ht="16.5" hidden="false" customHeight="true" outlineLevel="0" collapsed="false">
      <c r="Y24" s="539"/>
      <c r="Z24" s="507"/>
    </row>
    <row r="25" customFormat="false" ht="16.5" hidden="false" customHeight="true" outlineLevel="0" collapsed="false">
      <c r="Z25" s="507"/>
    </row>
    <row r="26" customFormat="false" ht="16.5" hidden="false" customHeight="true" outlineLevel="0" collapsed="false">
      <c r="Z26" s="507"/>
    </row>
    <row r="27" customFormat="false" ht="16.5" hidden="false" customHeight="true" outlineLevel="0" collapsed="false">
      <c r="Z27" s="507"/>
    </row>
    <row r="28" customFormat="false" ht="16.5" hidden="false" customHeight="true" outlineLevel="0" collapsed="false">
      <c r="Z28" s="507"/>
    </row>
    <row r="29" customFormat="false" ht="16.5" hidden="false" customHeight="true" outlineLevel="0" collapsed="false">
      <c r="Z29" s="507"/>
    </row>
    <row r="30" customFormat="false" ht="16.5" hidden="false" customHeight="true" outlineLevel="0" collapsed="false">
      <c r="Z30" s="507"/>
    </row>
    <row r="31" customFormat="false" ht="16.5" hidden="false" customHeight="true" outlineLevel="0" collapsed="false">
      <c r="Z31" s="507"/>
    </row>
    <row r="32" customFormat="false" ht="16.5" hidden="false" customHeight="true" outlineLevel="0" collapsed="false">
      <c r="Z32" s="507"/>
    </row>
    <row r="33" customFormat="false" ht="16.5" hidden="false" customHeight="true" outlineLevel="0" collapsed="false">
      <c r="Z33" s="507"/>
    </row>
    <row r="34" customFormat="false" ht="16.5" hidden="false" customHeight="true" outlineLevel="0" collapsed="false">
      <c r="Z34" s="507"/>
    </row>
    <row r="35" customFormat="false" ht="16.5" hidden="false" customHeight="true" outlineLevel="0" collapsed="false">
      <c r="Z35" s="507"/>
    </row>
    <row r="36" customFormat="false" ht="16.5" hidden="false" customHeight="true" outlineLevel="0" collapsed="false">
      <c r="Z36" s="507"/>
    </row>
    <row r="38" customFormat="false" ht="16.5" hidden="false" customHeight="true" outlineLevel="0" collapsed="false">
      <c r="Z38" s="507"/>
    </row>
    <row r="39" customFormat="false" ht="16.5" hidden="false" customHeight="true" outlineLevel="0" collapsed="false">
      <c r="Y39" s="539"/>
      <c r="Z39" s="507"/>
    </row>
    <row r="40" customFormat="false" ht="16.5" hidden="false" customHeight="true" outlineLevel="0" collapsed="false">
      <c r="Z40" s="507"/>
    </row>
    <row r="41" customFormat="false" ht="16.5" hidden="false" customHeight="true" outlineLevel="0" collapsed="false">
      <c r="Z41" s="507"/>
    </row>
    <row r="42" customFormat="false" ht="16.5" hidden="false" customHeight="true" outlineLevel="0" collapsed="false">
      <c r="Z42" s="507"/>
    </row>
    <row r="43" customFormat="false" ht="16.5" hidden="false" customHeight="true" outlineLevel="0" collapsed="false">
      <c r="Z43" s="507"/>
    </row>
    <row r="44" customFormat="false" ht="16.5" hidden="false" customHeight="true" outlineLevel="0" collapsed="false">
      <c r="Z44" s="507"/>
    </row>
    <row r="45" customFormat="false" ht="16.5" hidden="false" customHeight="true" outlineLevel="0" collapsed="false">
      <c r="Z45" s="507"/>
    </row>
    <row r="46" customFormat="false" ht="16.5" hidden="false" customHeight="true" outlineLevel="0" collapsed="false">
      <c r="Z46" s="507"/>
    </row>
    <row r="47" customFormat="false" ht="16.5" hidden="false" customHeight="true" outlineLevel="0" collapsed="false">
      <c r="Z47" s="507"/>
    </row>
    <row r="48" customFormat="false" ht="16.5" hidden="false" customHeight="true" outlineLevel="0" collapsed="false">
      <c r="Z48" s="507"/>
    </row>
    <row r="49" customFormat="false" ht="16.5" hidden="false" customHeight="true" outlineLevel="0" collapsed="false">
      <c r="Z49" s="507"/>
    </row>
    <row r="50" customFormat="false" ht="16.5" hidden="false" customHeight="true" outlineLevel="0" collapsed="false">
      <c r="Z50" s="507"/>
    </row>
    <row r="51" customFormat="false" ht="16.5" hidden="false" customHeight="true" outlineLevel="0" collapsed="false">
      <c r="Z51" s="507"/>
    </row>
    <row r="52" customFormat="false" ht="16.5" hidden="false" customHeight="true" outlineLevel="0" collapsed="false">
      <c r="Z52" s="507"/>
    </row>
    <row r="82" customFormat="false" ht="16.5" hidden="false" customHeight="true" outlineLevel="0" collapsed="false">
      <c r="Z82" s="507"/>
    </row>
    <row r="83" customFormat="false" ht="16.5" hidden="false" customHeight="true" outlineLevel="0" collapsed="false">
      <c r="Y83" s="539"/>
      <c r="Z83" s="507"/>
    </row>
    <row r="84" customFormat="false" ht="16.5" hidden="false" customHeight="true" outlineLevel="0" collapsed="false">
      <c r="Z84" s="507"/>
    </row>
    <row r="85" customFormat="false" ht="16.5" hidden="false" customHeight="true" outlineLevel="0" collapsed="false">
      <c r="Z85" s="507"/>
    </row>
    <row r="86" customFormat="false" ht="16.5" hidden="false" customHeight="true" outlineLevel="0" collapsed="false">
      <c r="Z86" s="507"/>
    </row>
    <row r="87" customFormat="false" ht="16.5" hidden="false" customHeight="true" outlineLevel="0" collapsed="false">
      <c r="Z87" s="507"/>
    </row>
    <row r="88" customFormat="false" ht="16.5" hidden="false" customHeight="true" outlineLevel="0" collapsed="false">
      <c r="Z88" s="507"/>
    </row>
    <row r="89" customFormat="false" ht="16.5" hidden="false" customHeight="true" outlineLevel="0" collapsed="false">
      <c r="Z89" s="507"/>
    </row>
    <row r="90" customFormat="false" ht="16.5" hidden="false" customHeight="true" outlineLevel="0" collapsed="false">
      <c r="Z90" s="507"/>
    </row>
    <row r="91" customFormat="false" ht="16.5" hidden="false" customHeight="true" outlineLevel="0" collapsed="false">
      <c r="Z91" s="507"/>
    </row>
    <row r="92" customFormat="false" ht="16.5" hidden="false" customHeight="true" outlineLevel="0" collapsed="false">
      <c r="Z92" s="507"/>
    </row>
    <row r="93" customFormat="false" ht="16.5" hidden="false" customHeight="true" outlineLevel="0" collapsed="false">
      <c r="Z93" s="507"/>
    </row>
    <row r="94" customFormat="false" ht="16.5" hidden="false" customHeight="true" outlineLevel="0" collapsed="false">
      <c r="Z94" s="507"/>
    </row>
    <row r="95" customFormat="false" ht="16.5" hidden="false" customHeight="true" outlineLevel="0" collapsed="false">
      <c r="Z95" s="507"/>
    </row>
    <row r="96" customFormat="false" ht="16.5" hidden="false" customHeight="true" outlineLevel="0" collapsed="false">
      <c r="Z96" s="507"/>
    </row>
    <row r="97" customFormat="false" ht="16.5" hidden="false" customHeight="true" outlineLevel="0" collapsed="false">
      <c r="Y97" s="539"/>
      <c r="Z97" s="507"/>
    </row>
    <row r="98" customFormat="false" ht="16.5" hidden="false" customHeight="true" outlineLevel="0" collapsed="false">
      <c r="Z98" s="507"/>
    </row>
    <row r="99" customFormat="false" ht="16.5" hidden="false" customHeight="true" outlineLevel="0" collapsed="false">
      <c r="Z99" s="507"/>
    </row>
    <row r="100" customFormat="false" ht="16.5" hidden="false" customHeight="true" outlineLevel="0" collapsed="false">
      <c r="Z100" s="507"/>
    </row>
    <row r="101" customFormat="false" ht="16.5" hidden="false" customHeight="true" outlineLevel="0" collapsed="false">
      <c r="Z101" s="507"/>
    </row>
    <row r="102" customFormat="false" ht="16.5" hidden="false" customHeight="true" outlineLevel="0" collapsed="false">
      <c r="Z102" s="507"/>
    </row>
    <row r="103" customFormat="false" ht="16.5" hidden="false" customHeight="true" outlineLevel="0" collapsed="false">
      <c r="Z103" s="507"/>
    </row>
    <row r="104" customFormat="false" ht="16.5" hidden="false" customHeight="true" outlineLevel="0" collapsed="false">
      <c r="Z104" s="507"/>
    </row>
    <row r="105" customFormat="false" ht="16.5" hidden="false" customHeight="true" outlineLevel="0" collapsed="false">
      <c r="Z105" s="507"/>
    </row>
    <row r="106" customFormat="false" ht="16.5" hidden="false" customHeight="true" outlineLevel="0" collapsed="false">
      <c r="Z106" s="507"/>
    </row>
    <row r="107" customFormat="false" ht="16.5" hidden="false" customHeight="true" outlineLevel="0" collapsed="false">
      <c r="Z107" s="507"/>
    </row>
    <row r="108" customFormat="false" ht="16.5" hidden="false" customHeight="true" outlineLevel="0" collapsed="false">
      <c r="Z108" s="507"/>
    </row>
  </sheetData>
  <mergeCells count="18">
    <mergeCell ref="A1:N1"/>
    <mergeCell ref="A3:A4"/>
    <mergeCell ref="B3:B4"/>
    <mergeCell ref="C3:C4"/>
    <mergeCell ref="D3:D4"/>
    <mergeCell ref="E3:F3"/>
    <mergeCell ref="G3:H3"/>
    <mergeCell ref="I3:J3"/>
    <mergeCell ref="M3:N3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rintOptions headings="false" gridLines="false" gridLinesSet="true" horizontalCentered="true" verticalCentered="false"/>
  <pageMargins left="0.315277777777778" right="0.315277777777778" top="0.78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F11" activeCellId="0" sqref="AF11"/>
    </sheetView>
  </sheetViews>
  <sheetFormatPr defaultColWidth="9" defaultRowHeight="13.5" zeroHeight="false" outlineLevelRow="0" outlineLevelCol="0"/>
  <cols>
    <col collapsed="false" customWidth="true" hidden="false" outlineLevel="0" max="4" min="1" style="173" width="3.13"/>
    <col collapsed="false" customWidth="true" hidden="false" outlineLevel="0" max="11" min="5" style="173" width="3.5"/>
    <col collapsed="false" customWidth="true" hidden="false" outlineLevel="0" max="14" min="12" style="173" width="3.13"/>
    <col collapsed="false" customWidth="true" hidden="false" outlineLevel="0" max="21" min="15" style="173" width="3.75"/>
    <col collapsed="false" customWidth="true" hidden="false" outlineLevel="0" max="26" min="22" style="173" width="3.13"/>
    <col collapsed="false" customWidth="false" hidden="false" outlineLevel="0" max="16384" min="27" style="173" width="9"/>
  </cols>
  <sheetData>
    <row r="1" customFormat="false" ht="15" hidden="false" customHeight="true" outlineLevel="0" collapsed="false">
      <c r="A1" s="348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349"/>
    </row>
    <row r="2" customFormat="false" ht="28.5" hidden="false" customHeight="true" outlineLevel="0" collapsed="false">
      <c r="A2" s="253"/>
      <c r="Y2" s="351"/>
    </row>
    <row r="3" customFormat="false" ht="31.5" hidden="false" customHeight="true" outlineLevel="0" collapsed="false">
      <c r="A3" s="253"/>
      <c r="C3" s="540" t="s">
        <v>841</v>
      </c>
      <c r="Y3" s="351"/>
    </row>
    <row r="4" customFormat="false" ht="24.75" hidden="false" customHeight="true" outlineLevel="0" collapsed="false">
      <c r="A4" s="253"/>
      <c r="C4" s="196"/>
      <c r="Y4" s="351"/>
    </row>
    <row r="5" customFormat="false" ht="24.75" hidden="false" customHeight="true" outlineLevel="0" collapsed="false">
      <c r="A5" s="253"/>
      <c r="C5" s="382"/>
      <c r="Y5" s="351"/>
    </row>
    <row r="6" customFormat="false" ht="24.75" hidden="false" customHeight="true" outlineLevel="0" collapsed="false">
      <c r="A6" s="253"/>
      <c r="Y6" s="351"/>
    </row>
    <row r="7" customFormat="false" ht="24.75" hidden="false" customHeight="true" outlineLevel="0" collapsed="false">
      <c r="A7" s="253"/>
      <c r="B7" s="196"/>
      <c r="C7" s="196"/>
      <c r="D7" s="196"/>
      <c r="N7" s="196"/>
      <c r="O7" s="196"/>
      <c r="P7" s="196"/>
      <c r="Q7" s="196"/>
      <c r="R7" s="196"/>
      <c r="S7" s="196"/>
      <c r="Y7" s="351"/>
    </row>
    <row r="8" customFormat="false" ht="24.75" hidden="false" customHeight="true" outlineLevel="0" collapsed="false">
      <c r="A8" s="253"/>
      <c r="B8" s="196"/>
      <c r="C8" s="196"/>
      <c r="D8" s="196"/>
      <c r="N8" s="196"/>
      <c r="O8" s="196"/>
      <c r="P8" s="196"/>
      <c r="Q8" s="196"/>
      <c r="R8" s="196"/>
      <c r="S8" s="196"/>
      <c r="Y8" s="351"/>
    </row>
    <row r="9" customFormat="false" ht="24.75" hidden="false" customHeight="true" outlineLevel="0" collapsed="false">
      <c r="A9" s="253"/>
      <c r="B9" s="196"/>
      <c r="C9" s="196"/>
      <c r="E9" s="188" t="s">
        <v>842</v>
      </c>
      <c r="F9" s="188"/>
      <c r="G9" s="188"/>
      <c r="H9" s="188"/>
      <c r="I9" s="188"/>
      <c r="J9" s="188"/>
      <c r="K9" s="188"/>
      <c r="N9" s="196"/>
      <c r="O9" s="188" t="s">
        <v>136</v>
      </c>
      <c r="P9" s="188"/>
      <c r="Q9" s="188"/>
      <c r="R9" s="188"/>
      <c r="S9" s="188"/>
      <c r="T9" s="188"/>
      <c r="U9" s="188"/>
      <c r="Y9" s="351"/>
    </row>
    <row r="10" customFormat="false" ht="24.75" hidden="false" customHeight="true" outlineLevel="0" collapsed="false">
      <c r="A10" s="253"/>
      <c r="E10" s="541" t="str">
        <f aca="false">공사정보_출력X!C8</f>
        <v>OO부대</v>
      </c>
      <c r="F10" s="541"/>
      <c r="G10" s="541"/>
      <c r="H10" s="541"/>
      <c r="I10" s="541"/>
      <c r="J10" s="541"/>
      <c r="K10" s="541"/>
      <c r="O10" s="542" t="str">
        <f aca="false">공사정보_출력X!C6</f>
        <v>주식회사 가상건설</v>
      </c>
      <c r="P10" s="542"/>
      <c r="Q10" s="542"/>
      <c r="R10" s="542"/>
      <c r="S10" s="542"/>
      <c r="T10" s="542"/>
      <c r="U10" s="542"/>
      <c r="Y10" s="351"/>
    </row>
    <row r="11" customFormat="false" ht="24.75" hidden="false" customHeight="true" outlineLevel="0" collapsed="false">
      <c r="A11" s="253"/>
      <c r="E11" s="543" t="str">
        <f aca="false">공사정보_출력X!D8</f>
        <v>031-000-0001</v>
      </c>
      <c r="F11" s="543"/>
      <c r="G11" s="543"/>
      <c r="H11" s="543"/>
      <c r="I11" s="543"/>
      <c r="J11" s="543"/>
      <c r="K11" s="543"/>
      <c r="O11" s="191" t="str">
        <f aca="false">공사정보_출력X!D6</f>
        <v>031-000-0000</v>
      </c>
      <c r="P11" s="191"/>
      <c r="Q11" s="191"/>
      <c r="R11" s="191"/>
      <c r="S11" s="191"/>
      <c r="T11" s="191"/>
      <c r="U11" s="191"/>
      <c r="Y11" s="351"/>
    </row>
    <row r="12" customFormat="false" ht="24.75" hidden="false" customHeight="true" outlineLevel="0" collapsed="false">
      <c r="A12" s="253"/>
      <c r="D12" s="196"/>
      <c r="O12" s="196"/>
      <c r="Y12" s="351"/>
    </row>
    <row r="13" customFormat="false" ht="24.75" hidden="false" customHeight="true" outlineLevel="0" collapsed="false">
      <c r="A13" s="253"/>
      <c r="D13" s="196"/>
      <c r="O13" s="196"/>
      <c r="Y13" s="351"/>
    </row>
    <row r="14" customFormat="false" ht="24.75" hidden="false" customHeight="true" outlineLevel="0" collapsed="false">
      <c r="A14" s="253"/>
      <c r="D14" s="196"/>
      <c r="O14" s="196"/>
      <c r="Y14" s="351"/>
    </row>
    <row r="15" customFormat="false" ht="24.75" hidden="false" customHeight="true" outlineLevel="0" collapsed="false">
      <c r="A15" s="253"/>
      <c r="Y15" s="351"/>
    </row>
    <row r="16" customFormat="false" ht="24.75" hidden="false" customHeight="true" outlineLevel="0" collapsed="false">
      <c r="A16" s="253"/>
      <c r="I16" s="192" t="s">
        <v>20</v>
      </c>
      <c r="J16" s="192"/>
      <c r="K16" s="192"/>
      <c r="L16" s="192"/>
      <c r="M16" s="192"/>
      <c r="N16" s="192"/>
      <c r="O16" s="192"/>
      <c r="P16" s="192"/>
      <c r="Q16" s="192"/>
      <c r="Y16" s="351"/>
    </row>
    <row r="17" customFormat="false" ht="24.75" hidden="false" customHeight="true" outlineLevel="0" collapsed="false">
      <c r="A17" s="253"/>
      <c r="I17" s="193" t="str">
        <f aca="false">공사정보_출력X!C13</f>
        <v>홍길동</v>
      </c>
      <c r="J17" s="193"/>
      <c r="K17" s="193"/>
      <c r="L17" s="193"/>
      <c r="M17" s="193"/>
      <c r="N17" s="193"/>
      <c r="O17" s="193"/>
      <c r="P17" s="193"/>
      <c r="Q17" s="193"/>
      <c r="Y17" s="351"/>
    </row>
    <row r="18" customFormat="false" ht="24.75" hidden="false" customHeight="true" outlineLevel="0" collapsed="false">
      <c r="A18" s="253"/>
      <c r="I18" s="191" t="str">
        <f aca="false">공사정보_출력X!E13</f>
        <v>010-1234-5678</v>
      </c>
      <c r="J18" s="191"/>
      <c r="K18" s="191"/>
      <c r="L18" s="191"/>
      <c r="M18" s="191"/>
      <c r="N18" s="191"/>
      <c r="O18" s="191"/>
      <c r="P18" s="191"/>
      <c r="Q18" s="191"/>
      <c r="Y18" s="351"/>
    </row>
    <row r="19" customFormat="false" ht="24.75" hidden="false" customHeight="true" outlineLevel="0" collapsed="false">
      <c r="A19" s="253"/>
      <c r="Y19" s="351"/>
    </row>
    <row r="20" customFormat="false" ht="24.75" hidden="false" customHeight="true" outlineLevel="0" collapsed="false">
      <c r="A20" s="253"/>
      <c r="Y20" s="351"/>
    </row>
    <row r="21" customFormat="false" ht="24.75" hidden="false" customHeight="true" outlineLevel="0" collapsed="false">
      <c r="A21" s="253"/>
      <c r="Y21" s="351"/>
    </row>
    <row r="22" customFormat="false" ht="24.75" hidden="false" customHeight="true" outlineLevel="0" collapsed="false">
      <c r="A22" s="253"/>
      <c r="Y22" s="351"/>
    </row>
    <row r="23" customFormat="false" ht="24.75" hidden="false" customHeight="true" outlineLevel="0" collapsed="false">
      <c r="A23" s="253"/>
      <c r="E23" s="196"/>
      <c r="F23" s="196"/>
      <c r="G23" s="196"/>
      <c r="H23" s="196"/>
      <c r="I23" s="244"/>
      <c r="J23" s="244"/>
      <c r="K23" s="244"/>
      <c r="L23" s="244"/>
      <c r="M23" s="244"/>
      <c r="N23" s="244"/>
      <c r="O23" s="244"/>
      <c r="P23" s="244"/>
      <c r="Q23" s="244"/>
      <c r="R23" s="196"/>
      <c r="S23" s="196"/>
      <c r="T23" s="196"/>
      <c r="U23" s="196"/>
      <c r="Y23" s="351"/>
    </row>
    <row r="24" customFormat="false" ht="24.75" hidden="false" customHeight="true" outlineLevel="0" collapsed="false">
      <c r="A24" s="253"/>
      <c r="E24" s="196"/>
      <c r="F24" s="196"/>
      <c r="G24" s="196"/>
      <c r="H24" s="196"/>
      <c r="I24" s="544"/>
      <c r="J24" s="544"/>
      <c r="K24" s="544"/>
      <c r="L24" s="544"/>
      <c r="M24" s="544"/>
      <c r="N24" s="544"/>
      <c r="O24" s="544"/>
      <c r="P24" s="544"/>
      <c r="Q24" s="544"/>
      <c r="R24" s="196"/>
      <c r="S24" s="196"/>
      <c r="T24" s="196"/>
      <c r="U24" s="196"/>
      <c r="Y24" s="351"/>
    </row>
    <row r="25" customFormat="false" ht="24.75" hidden="false" customHeight="true" outlineLevel="0" collapsed="false">
      <c r="A25" s="253"/>
      <c r="E25" s="196"/>
      <c r="F25" s="196"/>
      <c r="G25" s="196"/>
      <c r="H25" s="196"/>
      <c r="I25" s="544"/>
      <c r="J25" s="544"/>
      <c r="K25" s="544"/>
      <c r="L25" s="544"/>
      <c r="M25" s="544"/>
      <c r="N25" s="544"/>
      <c r="O25" s="544"/>
      <c r="P25" s="544"/>
      <c r="Q25" s="544"/>
      <c r="R25" s="196"/>
      <c r="S25" s="196"/>
      <c r="T25" s="196"/>
      <c r="U25" s="196"/>
      <c r="Y25" s="351"/>
    </row>
    <row r="26" customFormat="false" ht="24.75" hidden="false" customHeight="true" outlineLevel="0" collapsed="false">
      <c r="A26" s="253"/>
      <c r="Y26" s="351"/>
    </row>
    <row r="27" customFormat="false" ht="24.75" hidden="false" customHeight="true" outlineLevel="0" collapsed="false">
      <c r="A27" s="253"/>
      <c r="Y27" s="351"/>
    </row>
    <row r="28" customFormat="false" ht="24.75" hidden="false" customHeight="true" outlineLevel="0" collapsed="false">
      <c r="A28" s="253"/>
      <c r="Y28" s="351"/>
    </row>
    <row r="29" customFormat="false" ht="24.75" hidden="false" customHeight="true" outlineLevel="0" collapsed="false">
      <c r="A29" s="253"/>
      <c r="Y29" s="351"/>
    </row>
    <row r="30" customFormat="false" ht="24.75" hidden="false" customHeight="true" outlineLevel="0" collapsed="false">
      <c r="A30" s="253"/>
      <c r="Y30" s="351"/>
    </row>
    <row r="31" customFormat="false" ht="24.75" hidden="false" customHeight="true" outlineLevel="0" collapsed="false">
      <c r="A31" s="352"/>
      <c r="B31" s="353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Y31" s="354"/>
    </row>
    <row r="32" customFormat="false" ht="24.75" hidden="false" customHeight="true" outlineLevel="0" collapsed="false"/>
    <row r="33" customFormat="false" ht="24.75" hidden="false" customHeight="true" outlineLevel="0" collapsed="false"/>
    <row r="34" customFormat="false" ht="24.75" hidden="false" customHeight="true" outlineLevel="0" collapsed="false"/>
    <row r="35" customFormat="false" ht="24.75" hidden="false" customHeight="true" outlineLevel="0" collapsed="false"/>
    <row r="36" customFormat="false" ht="24.75" hidden="false" customHeight="true" outlineLevel="0" collapsed="false"/>
    <row r="37" customFormat="false" ht="24.75" hidden="false" customHeight="true" outlineLevel="0" collapsed="false"/>
    <row r="38" customFormat="false" ht="24.75" hidden="false" customHeight="true" outlineLevel="0" collapsed="false"/>
    <row r="39" customFormat="false" ht="24.75" hidden="false" customHeight="true" outlineLevel="0" collapsed="false"/>
    <row r="40" customFormat="false" ht="24.75" hidden="false" customHeight="true" outlineLevel="0" collapsed="false"/>
    <row r="41" customFormat="false" ht="24.75" hidden="false" customHeight="true" outlineLevel="0" collapsed="false"/>
    <row r="42" customFormat="false" ht="24.75" hidden="false" customHeight="true" outlineLevel="0" collapsed="false"/>
    <row r="43" customFormat="false" ht="24.75" hidden="false" customHeight="true" outlineLevel="0" collapsed="false"/>
    <row r="44" customFormat="false" ht="24.75" hidden="false" customHeight="true" outlineLevel="0" collapsed="false"/>
    <row r="45" customFormat="false" ht="24.75" hidden="false" customHeight="true" outlineLevel="0" collapsed="false"/>
    <row r="46" customFormat="false" ht="24.75" hidden="false" customHeight="true" outlineLevel="0" collapsed="false"/>
    <row r="47" customFormat="false" ht="24.75" hidden="false" customHeight="true" outlineLevel="0" collapsed="false"/>
    <row r="48" customFormat="false" ht="24.75" hidden="false" customHeight="true" outlineLevel="0" collapsed="false"/>
    <row r="49" customFormat="false" ht="24.75" hidden="false" customHeight="true" outlineLevel="0" collapsed="false"/>
    <row r="50" customFormat="false" ht="24.75" hidden="false" customHeight="true" outlineLevel="0" collapsed="false"/>
    <row r="51" customFormat="false" ht="24.75" hidden="false" customHeight="true" outlineLevel="0" collapsed="false"/>
    <row r="52" customFormat="false" ht="24.75" hidden="false" customHeight="true" outlineLevel="0" collapsed="false"/>
    <row r="53" customFormat="false" ht="24.75" hidden="false" customHeight="true" outlineLevel="0" collapsed="false"/>
    <row r="54" customFormat="false" ht="24.75" hidden="false" customHeight="true" outlineLevel="0" collapsed="false"/>
    <row r="55" customFormat="false" ht="24.75" hidden="false" customHeight="true" outlineLevel="0" collapsed="false"/>
    <row r="56" customFormat="false" ht="24.75" hidden="false" customHeight="true" outlineLevel="0" collapsed="false"/>
    <row r="57" customFormat="false" ht="24.75" hidden="false" customHeight="true" outlineLevel="0" collapsed="false"/>
    <row r="58" customFormat="false" ht="24.75" hidden="false" customHeight="true" outlineLevel="0" collapsed="false"/>
    <row r="59" customFormat="false" ht="24.75" hidden="false" customHeight="true" outlineLevel="0" collapsed="false"/>
    <row r="60" customFormat="false" ht="24.75" hidden="false" customHeight="true" outlineLevel="0" collapsed="false"/>
    <row r="61" customFormat="false" ht="24.75" hidden="false" customHeight="true" outlineLevel="0" collapsed="false"/>
    <row r="62" customFormat="false" ht="24.75" hidden="false" customHeight="true" outlineLevel="0" collapsed="false"/>
    <row r="63" customFormat="false" ht="24.75" hidden="false" customHeight="true" outlineLevel="0" collapsed="false"/>
    <row r="64" customFormat="false" ht="24.75" hidden="false" customHeight="true" outlineLevel="0" collapsed="false"/>
    <row r="65" customFormat="false" ht="24.75" hidden="false" customHeight="true" outlineLevel="0" collapsed="false"/>
    <row r="66" customFormat="false" ht="24.75" hidden="false" customHeight="true" outlineLevel="0" collapsed="false"/>
    <row r="67" customFormat="false" ht="24.75" hidden="false" customHeight="true" outlineLevel="0" collapsed="false"/>
    <row r="68" customFormat="false" ht="24.75" hidden="false" customHeight="true" outlineLevel="0" collapsed="false"/>
    <row r="69" customFormat="false" ht="24.75" hidden="false" customHeight="true" outlineLevel="0" collapsed="false"/>
    <row r="70" customFormat="false" ht="24.75" hidden="false" customHeight="true" outlineLevel="0" collapsed="false"/>
    <row r="71" customFormat="false" ht="24.75" hidden="false" customHeight="true" outlineLevel="0" collapsed="false"/>
    <row r="72" customFormat="false" ht="24.75" hidden="false" customHeight="true" outlineLevel="0" collapsed="false"/>
    <row r="73" customFormat="false" ht="24.75" hidden="false" customHeight="true" outlineLevel="0" collapsed="false"/>
    <row r="74" customFormat="false" ht="24.75" hidden="false" customHeight="true" outlineLevel="0" collapsed="false"/>
    <row r="75" customFormat="false" ht="24.75" hidden="false" customHeight="true" outlineLevel="0" collapsed="false"/>
    <row r="76" customFormat="false" ht="24.75" hidden="false" customHeight="true" outlineLevel="0" collapsed="false"/>
    <row r="77" customFormat="false" ht="24.75" hidden="false" customHeight="true" outlineLevel="0" collapsed="false"/>
    <row r="78" customFormat="false" ht="24.75" hidden="false" customHeight="true" outlineLevel="0" collapsed="false"/>
    <row r="79" customFormat="false" ht="24.75" hidden="false" customHeight="true" outlineLevel="0" collapsed="false"/>
    <row r="80" customFormat="false" ht="24.75" hidden="false" customHeight="true" outlineLevel="0" collapsed="false"/>
    <row r="81" customFormat="false" ht="24.75" hidden="false" customHeight="true" outlineLevel="0" collapsed="false"/>
    <row r="82" customFormat="false" ht="24.75" hidden="false" customHeight="true" outlineLevel="0" collapsed="false"/>
    <row r="83" customFormat="false" ht="24.75" hidden="false" customHeight="true" outlineLevel="0" collapsed="false"/>
    <row r="84" customFormat="false" ht="24.75" hidden="false" customHeight="true" outlineLevel="0" collapsed="false"/>
    <row r="85" customFormat="false" ht="24.75" hidden="false" customHeight="true" outlineLevel="0" collapsed="false"/>
    <row r="86" customFormat="false" ht="24.75" hidden="false" customHeight="true" outlineLevel="0" collapsed="false"/>
    <row r="87" customFormat="false" ht="24.75" hidden="false" customHeight="true" outlineLevel="0" collapsed="false"/>
    <row r="88" customFormat="false" ht="24.75" hidden="false" customHeight="true" outlineLevel="0" collapsed="false"/>
    <row r="89" customFormat="false" ht="24.75" hidden="false" customHeight="true" outlineLevel="0" collapsed="false"/>
    <row r="90" customFormat="false" ht="24.75" hidden="false" customHeight="true" outlineLevel="0" collapsed="false"/>
    <row r="91" customFormat="false" ht="24.75" hidden="false" customHeight="true" outlineLevel="0" collapsed="false"/>
    <row r="92" customFormat="false" ht="24.75" hidden="false" customHeight="true" outlineLevel="0" collapsed="false"/>
    <row r="93" customFormat="false" ht="24.75" hidden="false" customHeight="true" outlineLevel="0" collapsed="false"/>
    <row r="94" customFormat="false" ht="24.75" hidden="false" customHeight="true" outlineLevel="0" collapsed="false"/>
    <row r="95" customFormat="false" ht="24.75" hidden="false" customHeight="true" outlineLevel="0" collapsed="false"/>
    <row r="96" customFormat="false" ht="24.75" hidden="false" customHeight="true" outlineLevel="0" collapsed="false"/>
    <row r="97" customFormat="false" ht="24.75" hidden="false" customHeight="true" outlineLevel="0" collapsed="false"/>
    <row r="98" customFormat="false" ht="24.75" hidden="false" customHeight="true" outlineLevel="0" collapsed="false"/>
    <row r="99" customFormat="false" ht="24.75" hidden="false" customHeight="true" outlineLevel="0" collapsed="false"/>
    <row r="100" customFormat="false" ht="24.75" hidden="false" customHeight="true" outlineLevel="0" collapsed="false"/>
    <row r="101" customFormat="false" ht="24.75" hidden="false" customHeight="true" outlineLevel="0" collapsed="false"/>
    <row r="102" customFormat="false" ht="24.75" hidden="false" customHeight="true" outlineLevel="0" collapsed="false"/>
    <row r="103" customFormat="false" ht="24.75" hidden="false" customHeight="true" outlineLevel="0" collapsed="false"/>
    <row r="104" customFormat="false" ht="24.75" hidden="false" customHeight="true" outlineLevel="0" collapsed="false"/>
    <row r="105" customFormat="false" ht="24.75" hidden="false" customHeight="true" outlineLevel="0" collapsed="false"/>
    <row r="106" customFormat="false" ht="24.75" hidden="false" customHeight="true" outlineLevel="0" collapsed="false"/>
    <row r="107" customFormat="false" ht="24.75" hidden="false" customHeight="true" outlineLevel="0" collapsed="false"/>
    <row r="108" customFormat="false" ht="24.75" hidden="false" customHeight="true" outlineLevel="0" collapsed="false"/>
  </sheetData>
  <mergeCells count="9">
    <mergeCell ref="E9:K9"/>
    <mergeCell ref="O9:U9"/>
    <mergeCell ref="E10:K10"/>
    <mergeCell ref="O10:U10"/>
    <mergeCell ref="E11:K11"/>
    <mergeCell ref="O11:U11"/>
    <mergeCell ref="I16:Q16"/>
    <mergeCell ref="I17:Q17"/>
    <mergeCell ref="I18:Q18"/>
  </mergeCells>
  <printOptions headings="false" gridLines="false" gridLinesSet="true" horizontalCentered="true" verticalCentered="false"/>
  <pageMargins left="0.7875" right="0.7875" top="0.945138888888889" bottom="0.747916666666667" header="0.511811023622047" footer="0.511811023622047"/>
  <pageSetup paperSize="9" scale="9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G29" activeCellId="0" sqref="AG29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2013-11-26T08:35:15Z</dcterms:created>
  <dc:creator>user</dc:creator>
  <dc:description/>
  <dc:language>en-US</dc:language>
  <cp:lastModifiedBy>USER</cp:lastModifiedBy>
  <cp:lastPrinted>2025-11-12T07:03:03Z</cp:lastPrinted>
  <dcterms:modified xsi:type="dcterms:W3CDTF">2026-08-17T07:07:51Z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